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heca\Downloads\"/>
    </mc:Choice>
  </mc:AlternateContent>
  <xr:revisionPtr revIDLastSave="0" documentId="13_ncr:1_{B66F7204-A6CD-4F4C-8180-9767560E7D62}" xr6:coauthVersionLast="47" xr6:coauthVersionMax="47" xr10:uidLastSave="{00000000-0000-0000-0000-000000000000}"/>
  <bookViews>
    <workbookView xWindow="612" yWindow="3252" windowWidth="17280" windowHeight="8880" firstSheet="1" activeTab="1" xr2:uid="{00000000-000D-0000-FFFF-FFFF00000000}"/>
  </bookViews>
  <sheets>
    <sheet name="Input_Params" sheetId="1" r:id="rId1"/>
    <sheet name="Demand_Tech_Characteristics" sheetId="2" r:id="rId2"/>
    <sheet name="Baseline_Demand_Fuel_Mix" sheetId="3" r:id="rId3"/>
    <sheet name="Demand_Tech_Unit_Cost" sheetId="4" r:id="rId4"/>
    <sheet name="Demand_Tech_Efficiency" sheetId="5" r:id="rId5"/>
    <sheet name="Baseline_Efficiency" sheetId="6" r:id="rId6"/>
    <sheet name="Stock" sheetId="7" r:id="rId7"/>
    <sheet name="Demand_Scaling" sheetId="8" r:id="rId8"/>
    <sheet name="Stock_Turnover" sheetId="9" r:id="rId9"/>
    <sheet name="Sourc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7" l="1"/>
  <c r="G3" i="7"/>
  <c r="F3" i="7"/>
  <c r="D3" i="7"/>
  <c r="H3" i="7"/>
  <c r="C3" i="7"/>
  <c r="F2" i="7"/>
  <c r="E2" i="7" s="1"/>
  <c r="D2" i="7" s="1"/>
  <c r="G2" i="7"/>
  <c r="H2" i="7"/>
  <c r="C2" i="7"/>
</calcChain>
</file>

<file path=xl/sharedStrings.xml><?xml version="1.0" encoding="utf-8"?>
<sst xmlns="http://schemas.openxmlformats.org/spreadsheetml/2006/main" count="231" uniqueCount="151">
  <si>
    <t>SheetName</t>
  </si>
  <si>
    <t>YrStartCol</t>
  </si>
  <si>
    <t>ValueName</t>
  </si>
  <si>
    <t>Baseline_Demand_Fuel_Mix</t>
  </si>
  <si>
    <t>share_of_service_demand</t>
  </si>
  <si>
    <t>Demand_Tech_Unit_Cost</t>
  </si>
  <si>
    <t>unit_cost_real_2024USD</t>
  </si>
  <si>
    <t>Demand_Tech_Efficiency</t>
  </si>
  <si>
    <t>efficiency_metric_value</t>
  </si>
  <si>
    <t>Baseline_Efficiency</t>
  </si>
  <si>
    <t>baseline_efficiency_value</t>
  </si>
  <si>
    <t>Stock</t>
  </si>
  <si>
    <t>stock_count_or_floor_area</t>
  </si>
  <si>
    <t>Demand_Scaling</t>
  </si>
  <si>
    <t>service_demand_scaler</t>
  </si>
  <si>
    <t>Demand Technology</t>
  </si>
  <si>
    <t>Sector</t>
  </si>
  <si>
    <t>Service Demand</t>
  </si>
  <si>
    <t>Technology Type</t>
  </si>
  <si>
    <t>Fuel Type</t>
  </si>
  <si>
    <t>Available Year</t>
  </si>
  <si>
    <t>Saturation Unit Basis</t>
  </si>
  <si>
    <t>Starting Saturation_percent</t>
  </si>
  <si>
    <t>Max Annual Saturation_percent</t>
  </si>
  <si>
    <t>Max Total Saturation_percent</t>
  </si>
  <si>
    <t>Uptake Function</t>
  </si>
  <si>
    <t>Air-Source Heat Pump (space heating)</t>
  </si>
  <si>
    <t>Residential</t>
  </si>
  <si>
    <t>Space Heating</t>
  </si>
  <si>
    <t>End-Use Tech</t>
  </si>
  <si>
    <t>Electricity</t>
  </si>
  <si>
    <t>Percent of households (main heating)</t>
  </si>
  <si>
    <t>logistic</t>
  </si>
  <si>
    <t>Heat Pump Water Heater (50 gal)</t>
  </si>
  <si>
    <t>Water Heating</t>
  </si>
  <si>
    <t>Percent of new electric storage WH shipments</t>
  </si>
  <si>
    <t>LED Lighting (general service lamps)</t>
  </si>
  <si>
    <t>Lighting</t>
  </si>
  <si>
    <t>Percent of sockets using LED</t>
  </si>
  <si>
    <t>Smart Thermostat</t>
  </si>
  <si>
    <t>HVAC Controls</t>
  </si>
  <si>
    <t>Controls</t>
  </si>
  <si>
    <t>Percent of internet households</t>
  </si>
  <si>
    <t>Natural Gas</t>
  </si>
  <si>
    <t>Propane</t>
  </si>
  <si>
    <t>Heating Oil</t>
  </si>
  <si>
    <t>Other (Wood/Other)</t>
  </si>
  <si>
    <t>Demand Type</t>
  </si>
  <si>
    <t>Capacity Unit</t>
  </si>
  <si>
    <t>Entity</t>
  </si>
  <si>
    <t>system</t>
  </si>
  <si>
    <t>Installed cost (USD)</t>
  </si>
  <si>
    <t>unit</t>
  </si>
  <si>
    <t>LED Lighting (general service lamp)</t>
  </si>
  <si>
    <t>bulb</t>
  </si>
  <si>
    <t>Retail price (USD)</t>
  </si>
  <si>
    <t>Utility-Scale Solar PV (one-axis tracking)</t>
  </si>
  <si>
    <t>kW_AC</t>
  </si>
  <si>
    <t>Overnight capital cost (USD/kW)</t>
  </si>
  <si>
    <t>Land-Based Wind</t>
  </si>
  <si>
    <t>kW</t>
  </si>
  <si>
    <t>Li-ion Battery Storage (4-hour)</t>
  </si>
  <si>
    <t>Power component capex (USD/kW)</t>
  </si>
  <si>
    <t>Efficiency Metric</t>
  </si>
  <si>
    <t>HSPF2 (ENERGY STAR Most Efficient threshold)</t>
  </si>
  <si>
    <t>UEF (example ENERGY STAR model)</t>
  </si>
  <si>
    <t>Minimum efficacy (lumens/W)</t>
  </si>
  <si>
    <t>HVAC savings (fractional, placeholder)</t>
  </si>
  <si>
    <t>AFUE (typical high-efficiency)</t>
  </si>
  <si>
    <t>COP-equivalent (resistance)</t>
  </si>
  <si>
    <t>UEF (example conventional tank)</t>
  </si>
  <si>
    <t>UEF (conventional electric tank, placeholder)</t>
  </si>
  <si>
    <t>Climate Zone</t>
  </si>
  <si>
    <t>Residential Households</t>
  </si>
  <si>
    <t>US-Average</t>
  </si>
  <si>
    <t>Commercial Floor Area (sqft)</t>
  </si>
  <si>
    <t>Demand</t>
  </si>
  <si>
    <t>Demand Units</t>
  </si>
  <si>
    <t>Residential Space Heating</t>
  </si>
  <si>
    <t>MMBtu per household-year</t>
  </si>
  <si>
    <t>Residential Water Heating</t>
  </si>
  <si>
    <t>Residential Lighting</t>
  </si>
  <si>
    <t>kWh per household-year</t>
  </si>
  <si>
    <t>Technology</t>
  </si>
  <si>
    <t>Lifetime</t>
  </si>
  <si>
    <t>Lifetime Units</t>
  </si>
  <si>
    <t>Gas Furnace</t>
  </si>
  <si>
    <t>years</t>
  </si>
  <si>
    <t>Air-Source Heat Pump</t>
  </si>
  <si>
    <t>Gas Storage Water Heater</t>
  </si>
  <si>
    <t>Heat Pump Water Heater</t>
  </si>
  <si>
    <t>LED Lamp</t>
  </si>
  <si>
    <t>Data Item</t>
  </si>
  <si>
    <t>Where Used</t>
  </si>
  <si>
    <t>Source</t>
  </si>
  <si>
    <t>Notes</t>
  </si>
  <si>
    <t>Heat pumps used for main space heating ~15% of U.S. households (2020)</t>
  </si>
  <si>
    <t>Demand_Tech_Characteristics.Starting Saturation_percent (ASHP)</t>
  </si>
  <si>
    <t>Harvard JCHS (2024) - 'More US Homes are Using Heat Pumps'</t>
  </si>
  <si>
    <t>Starting saturation proxy.</t>
  </si>
  <si>
    <t>DOE: &gt;50% of newly manufactured electric storage water heaters will be HPWH vs 3% today (May 2024)</t>
  </si>
  <si>
    <t>Demand_Tech_Characteristics.Starting Saturation_percent (HPWH)</t>
  </si>
  <si>
    <t>DOE (May 1, 2024) water heater standards press release</t>
  </si>
  <si>
    <t>3% used as starting saturation proxy.</t>
  </si>
  <si>
    <t>Smart thermostat adoption increased to 16% of U.S. internet homes by end of 2022</t>
  </si>
  <si>
    <t>Demand_Tech_Characteristics.Starting Saturation_percent (Smart Thermostat)</t>
  </si>
  <si>
    <t>SDM Magazine (Jan 26, 2024) citing Parks Associates</t>
  </si>
  <si>
    <t>Internet homes ≠ all homes.</t>
  </si>
  <si>
    <t>Space heating fuel shares (2024 ACS): electricity 42%, natural gas 47%</t>
  </si>
  <si>
    <t>Baseline_Demand_Fuel_Mix (Space Heating)</t>
  </si>
  <si>
    <t>EIA Today in Energy (Oct 10, 2025)</t>
  </si>
  <si>
    <t>Held constant 2025–2030 for sample.</t>
  </si>
  <si>
    <t>ENERGY STAR Most Efficient 2024 ASHP criteria includes HSPF2 thresholds (e.g., 8.1 split system)</t>
  </si>
  <si>
    <t>Demand_Tech_Efficiency (ASHP)</t>
  </si>
  <si>
    <t>ENERGY STAR Most Efficient 2024 ASHP Criteria (Oct 2023)</t>
  </si>
  <si>
    <t>Used 8.1 as conservative threshold value.</t>
  </si>
  <si>
    <t>HPWH example UEF 3.75 (50 gal hybrid)</t>
  </si>
  <si>
    <t>Demand_Tech_Efficiency (HPWH)</t>
  </si>
  <si>
    <t>Home Depot listing (Rheem Performance Platinum 50 gal HPWH)</t>
  </si>
  <si>
    <t>Example product; replace with portfolio averages later.</t>
  </si>
  <si>
    <t>DOE final rule raises common lightbulb efficiency to &gt;120 lumens/W</t>
  </si>
  <si>
    <t>Demand_Tech_Efficiency (LED)</t>
  </si>
  <si>
    <t>DOE (Apr 14, 2024) lightbulb standards press release</t>
  </si>
  <si>
    <t>Used as efficacy benchmark.</t>
  </si>
  <si>
    <t>ASHP typical project cost range $10k–$25k</t>
  </si>
  <si>
    <t>Demand_Tech_Unit_Cost (ASHP)</t>
  </si>
  <si>
    <t>ENERGY STAR Heat Pumps page</t>
  </si>
  <si>
    <t>Midpoint used; simple decline applied.</t>
  </si>
  <si>
    <t>Demand_Tech_Unit_Cost (HPWH)</t>
  </si>
  <si>
    <t>Gas storage water heater example UEF 0.64</t>
  </si>
  <si>
    <t>Baseline_Efficiency (Water Heating, Natural Gas)</t>
  </si>
  <si>
    <t>Home Depot listing (Rheem Performance Plus gas WH)</t>
  </si>
  <si>
    <t>Example product; replace with population-weighted later.</t>
  </si>
  <si>
    <t>Demand_Tech_Unit_Cost (Utility-Scale Solar PV)</t>
  </si>
  <si>
    <t>Too Low: LBL 2025 data shows capacity-weighted installed costs rose to ~$1.61/Watt_AC. NREL ATB Moderate scenarios are ~$1.30–$1.40/Watt_AC.</t>
  </si>
  <si>
    <t>NREL ATB 2024 (Moderate): Projects a ~4.8% annual cost reduction for solar CAPEX as supply chains mature. LBL Utility-Scale Solar 2025 Update;</t>
  </si>
  <si>
    <t>~$1,600 / kW_AC</t>
  </si>
  <si>
    <t>Demand_Tech_Unit_Cost (Li-ion Battery Storage)</t>
  </si>
  <si>
    <t>Too Low: NREL ATB 2024 projects 4-hour battery costs at ~$340/kWh (~$1,360/kW). LBL 2024 data shows "All-in" CAPEX at ~$458/kWh ($1,832/kW).</t>
  </si>
  <si>
    <t>NREL 2025 Update (Mid Case): Projects 4-hr battery costs dropping to ~$243/kWh (~$972/kW) by 2030. NREL ATB 2024; LBL Utility-Scale Solar/Storage Report</t>
  </si>
  <si>
    <t>$1,300 – $1,800 / kW</t>
  </si>
  <si>
    <t>HPWH typical cost range ~$1.5k–$3k. Update: Critical Error: Input likely covers only the hardware unit ($1.5k–$1.8k). Installation labor typically adds $2,500+.</t>
  </si>
  <si>
    <t>ENERGY STAR HPWH pages. Update: Market Maturity: Hardware costs will drop, but labor (the largest chunk) is "sticky." Assumes ~15% total reduction as contractors gain efficiency. Home Depot/Lowes (Unit Price); Rheem/Energy Star (Install Labor Estimates)</t>
  </si>
  <si>
    <t>Stock (Residential Households)</t>
  </si>
  <si>
    <t>~7% Low: The Census Bureau estimated ~131M households in 2023. Projections for 2025 should be 132M+.</t>
  </si>
  <si>
    <t>Demographic Growth: Extrapolates ~0.9% annual growth consistent with Census/AEO trends. US Census Bureau 2024 (Families &amp; Living Arrangements)</t>
  </si>
  <si>
    <t>~132 Million</t>
  </si>
  <si>
    <t>Stock (Commercial Floor Area)</t>
  </si>
  <si>
    <t>Low: The 2018 CBECS survey already estimated ~97 billion sqft. Growth trends put 2025 &gt;100B.</t>
  </si>
  <si>
    <t>Economic Growth: Extrapolates ~1.0% annual growth consistent with historical CBECS/AEO trends. EIA CBECS 2018; AEO 2023/2024 Projections</t>
  </si>
  <si>
    <t>~100–105 Billion sqft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</si>
</sst>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12" customWidth="1"/>
    <col min="3" max="3" width="27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>
        <v>3</v>
      </c>
      <c r="C2" t="s">
        <v>4</v>
      </c>
    </row>
    <row r="3" spans="1:3" x14ac:dyDescent="0.3">
      <c r="A3" t="s">
        <v>5</v>
      </c>
      <c r="B3">
        <v>4</v>
      </c>
      <c r="C3" t="s">
        <v>6</v>
      </c>
    </row>
    <row r="4" spans="1:3" x14ac:dyDescent="0.3">
      <c r="A4" t="s">
        <v>7</v>
      </c>
      <c r="B4">
        <v>3</v>
      </c>
      <c r="C4" t="s">
        <v>8</v>
      </c>
    </row>
    <row r="5" spans="1:3" x14ac:dyDescent="0.3">
      <c r="A5" t="s">
        <v>9</v>
      </c>
      <c r="B5">
        <v>4</v>
      </c>
      <c r="C5" t="s">
        <v>10</v>
      </c>
    </row>
    <row r="6" spans="1:3" x14ac:dyDescent="0.3">
      <c r="A6" t="s">
        <v>11</v>
      </c>
      <c r="B6">
        <v>3</v>
      </c>
      <c r="C6" t="s">
        <v>12</v>
      </c>
    </row>
    <row r="7" spans="1:3" x14ac:dyDescent="0.3">
      <c r="A7" t="s">
        <v>13</v>
      </c>
      <c r="B7">
        <v>6</v>
      </c>
      <c r="C7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tabSelected="1" workbookViewId="0">
      <pane ySplit="1" topLeftCell="A3" activePane="bottomLeft" state="frozen"/>
      <selection pane="bottomLeft"/>
    </sheetView>
  </sheetViews>
  <sheetFormatPr defaultRowHeight="14.4" x14ac:dyDescent="0.3"/>
  <cols>
    <col min="1" max="1" width="38" customWidth="1"/>
    <col min="2" max="2" width="13" customWidth="1"/>
    <col min="3" max="3" width="16" customWidth="1"/>
    <col min="4" max="4" width="17" customWidth="1"/>
    <col min="5" max="5" width="13" customWidth="1"/>
    <col min="6" max="6" width="16" customWidth="1"/>
    <col min="7" max="7" width="46" customWidth="1"/>
    <col min="8" max="8" width="29" customWidth="1"/>
    <col min="9" max="9" width="31" customWidth="1"/>
    <col min="10" max="10" width="30" customWidth="1"/>
    <col min="11" max="11" width="17" customWidth="1"/>
  </cols>
  <sheetData>
    <row r="1" spans="1:11" x14ac:dyDescent="0.3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</row>
    <row r="2" spans="1:11" hidden="1" x14ac:dyDescent="0.3">
      <c r="A2" t="s">
        <v>26</v>
      </c>
      <c r="B2" t="s">
        <v>27</v>
      </c>
      <c r="C2" t="s">
        <v>28</v>
      </c>
      <c r="D2" t="s">
        <v>29</v>
      </c>
      <c r="E2" t="s">
        <v>30</v>
      </c>
      <c r="F2">
        <v>2025</v>
      </c>
      <c r="G2" t="s">
        <v>31</v>
      </c>
      <c r="H2">
        <v>15</v>
      </c>
      <c r="I2">
        <v>5</v>
      </c>
      <c r="J2">
        <v>80</v>
      </c>
      <c r="K2" t="s">
        <v>32</v>
      </c>
    </row>
    <row r="3" spans="1:11" x14ac:dyDescent="0.3">
      <c r="A3" t="s">
        <v>33</v>
      </c>
      <c r="B3" t="s">
        <v>27</v>
      </c>
      <c r="C3" t="s">
        <v>34</v>
      </c>
      <c r="D3" t="s">
        <v>29</v>
      </c>
      <c r="E3" t="s">
        <v>30</v>
      </c>
      <c r="F3">
        <v>2025</v>
      </c>
      <c r="G3" t="s">
        <v>35</v>
      </c>
      <c r="H3">
        <v>2.5</v>
      </c>
      <c r="I3">
        <v>4</v>
      </c>
      <c r="J3">
        <v>82.5</v>
      </c>
      <c r="K3" t="s">
        <v>32</v>
      </c>
    </row>
    <row r="4" spans="1:11" x14ac:dyDescent="0.3">
      <c r="A4" t="s">
        <v>36</v>
      </c>
      <c r="B4" t="s">
        <v>27</v>
      </c>
      <c r="C4" t="s">
        <v>37</v>
      </c>
      <c r="D4" t="s">
        <v>29</v>
      </c>
      <c r="E4" t="s">
        <v>30</v>
      </c>
      <c r="F4">
        <v>2025</v>
      </c>
      <c r="G4" t="s">
        <v>38</v>
      </c>
      <c r="H4">
        <v>70</v>
      </c>
      <c r="I4">
        <v>6</v>
      </c>
      <c r="J4">
        <v>95</v>
      </c>
      <c r="K4" t="s">
        <v>32</v>
      </c>
    </row>
    <row r="5" spans="1:11" x14ac:dyDescent="0.3">
      <c r="A5" t="s">
        <v>39</v>
      </c>
      <c r="B5" t="s">
        <v>27</v>
      </c>
      <c r="C5" t="s">
        <v>40</v>
      </c>
      <c r="D5" t="s">
        <v>41</v>
      </c>
      <c r="E5" t="s">
        <v>30</v>
      </c>
      <c r="F5">
        <v>2025</v>
      </c>
      <c r="G5" t="s">
        <v>42</v>
      </c>
      <c r="H5">
        <v>16</v>
      </c>
      <c r="I5">
        <v>5</v>
      </c>
      <c r="J5">
        <v>80</v>
      </c>
      <c r="K5" t="s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20" customWidth="1"/>
    <col min="3" max="8" width="12" customWidth="1"/>
  </cols>
  <sheetData>
    <row r="1" spans="1:8" x14ac:dyDescent="0.3">
      <c r="A1" s="1" t="s">
        <v>17</v>
      </c>
      <c r="B1" s="1" t="s">
        <v>19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28</v>
      </c>
      <c r="B2" t="s">
        <v>43</v>
      </c>
      <c r="C2">
        <v>0.47</v>
      </c>
      <c r="D2">
        <v>0.47</v>
      </c>
      <c r="E2">
        <v>0.47</v>
      </c>
      <c r="F2">
        <v>0.47</v>
      </c>
      <c r="G2">
        <v>0.47</v>
      </c>
      <c r="H2">
        <v>0.47</v>
      </c>
    </row>
    <row r="3" spans="1:8" x14ac:dyDescent="0.3">
      <c r="A3" t="s">
        <v>28</v>
      </c>
      <c r="B3" t="s">
        <v>30</v>
      </c>
      <c r="C3">
        <v>0.42</v>
      </c>
      <c r="D3">
        <v>0.42</v>
      </c>
      <c r="E3">
        <v>0.42</v>
      </c>
      <c r="F3">
        <v>0.42</v>
      </c>
      <c r="G3">
        <v>0.42</v>
      </c>
      <c r="H3">
        <v>0.42</v>
      </c>
    </row>
    <row r="4" spans="1:8" x14ac:dyDescent="0.3">
      <c r="A4" t="s">
        <v>28</v>
      </c>
      <c r="B4" t="s">
        <v>44</v>
      </c>
      <c r="C4">
        <v>0.05</v>
      </c>
      <c r="D4">
        <v>0.05</v>
      </c>
      <c r="E4">
        <v>0.05</v>
      </c>
      <c r="F4">
        <v>0.05</v>
      </c>
      <c r="G4">
        <v>0.05</v>
      </c>
      <c r="H4">
        <v>0.05</v>
      </c>
    </row>
    <row r="5" spans="1:8" x14ac:dyDescent="0.3">
      <c r="A5" t="s">
        <v>28</v>
      </c>
      <c r="B5" t="s">
        <v>45</v>
      </c>
      <c r="C5">
        <v>0.03</v>
      </c>
      <c r="D5">
        <v>0.03</v>
      </c>
      <c r="E5">
        <v>0.03</v>
      </c>
      <c r="F5">
        <v>0.03</v>
      </c>
      <c r="G5">
        <v>0.03</v>
      </c>
      <c r="H5">
        <v>0.03</v>
      </c>
    </row>
    <row r="6" spans="1:8" x14ac:dyDescent="0.3">
      <c r="A6" t="s">
        <v>28</v>
      </c>
      <c r="B6" t="s">
        <v>46</v>
      </c>
      <c r="C6">
        <v>0.03</v>
      </c>
      <c r="D6">
        <v>0.03</v>
      </c>
      <c r="E6">
        <v>0.03</v>
      </c>
      <c r="F6">
        <v>0.03</v>
      </c>
      <c r="G6">
        <v>0.03</v>
      </c>
      <c r="H6">
        <v>0.03</v>
      </c>
    </row>
    <row r="7" spans="1:8" x14ac:dyDescent="0.3">
      <c r="A7" t="s">
        <v>34</v>
      </c>
      <c r="B7" t="s">
        <v>43</v>
      </c>
      <c r="C7">
        <v>0.5</v>
      </c>
      <c r="D7">
        <v>0.5</v>
      </c>
      <c r="E7">
        <v>0.5</v>
      </c>
      <c r="F7">
        <v>0.5</v>
      </c>
      <c r="G7">
        <v>0.5</v>
      </c>
      <c r="H7">
        <v>0.5</v>
      </c>
    </row>
    <row r="8" spans="1:8" x14ac:dyDescent="0.3">
      <c r="A8" t="s">
        <v>34</v>
      </c>
      <c r="B8" t="s">
        <v>30</v>
      </c>
      <c r="C8">
        <v>0.45</v>
      </c>
      <c r="D8">
        <v>0.45</v>
      </c>
      <c r="E8">
        <v>0.45</v>
      </c>
      <c r="F8">
        <v>0.45</v>
      </c>
      <c r="G8">
        <v>0.45</v>
      </c>
      <c r="H8">
        <v>0.45</v>
      </c>
    </row>
    <row r="9" spans="1:8" x14ac:dyDescent="0.3">
      <c r="A9" t="s">
        <v>34</v>
      </c>
      <c r="B9" t="s">
        <v>44</v>
      </c>
      <c r="C9">
        <v>0.03</v>
      </c>
      <c r="D9">
        <v>0.03</v>
      </c>
      <c r="E9">
        <v>0.03</v>
      </c>
      <c r="F9">
        <v>0.03</v>
      </c>
      <c r="G9">
        <v>0.03</v>
      </c>
      <c r="H9">
        <v>0.03</v>
      </c>
    </row>
    <row r="10" spans="1:8" x14ac:dyDescent="0.3">
      <c r="A10" t="s">
        <v>34</v>
      </c>
      <c r="B10" t="s">
        <v>45</v>
      </c>
      <c r="C10">
        <v>0.02</v>
      </c>
      <c r="D10">
        <v>0.02</v>
      </c>
      <c r="E10">
        <v>0.02</v>
      </c>
      <c r="F10">
        <v>0.02</v>
      </c>
      <c r="G10">
        <v>0.02</v>
      </c>
      <c r="H10">
        <v>0.02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"/>
  <sheetViews>
    <sheetView topLeftCell="B1" zoomScale="97" workbookViewId="0">
      <pane ySplit="1" topLeftCell="A2" activePane="bottomLeft" state="frozen"/>
      <selection pane="bottomLeft" activeCell="E7" sqref="E7"/>
    </sheetView>
  </sheetViews>
  <sheetFormatPr defaultRowHeight="14.4" x14ac:dyDescent="0.3"/>
  <cols>
    <col min="1" max="1" width="44" customWidth="1"/>
    <col min="2" max="2" width="15" customWidth="1"/>
    <col min="3" max="3" width="33" customWidth="1"/>
    <col min="4" max="9" width="12" customWidth="1"/>
  </cols>
  <sheetData>
    <row r="1" spans="1:9" x14ac:dyDescent="0.3">
      <c r="A1" s="1" t="s">
        <v>47</v>
      </c>
      <c r="B1" s="1" t="s">
        <v>48</v>
      </c>
      <c r="C1" s="1" t="s">
        <v>49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</row>
    <row r="2" spans="1:9" x14ac:dyDescent="0.3">
      <c r="A2" t="s">
        <v>26</v>
      </c>
      <c r="B2" t="s">
        <v>50</v>
      </c>
      <c r="C2" t="s">
        <v>51</v>
      </c>
      <c r="D2">
        <v>15000</v>
      </c>
      <c r="E2">
        <v>14700</v>
      </c>
      <c r="F2">
        <v>14400</v>
      </c>
      <c r="G2">
        <v>14100</v>
      </c>
      <c r="H2">
        <v>13800</v>
      </c>
      <c r="I2">
        <v>13500</v>
      </c>
    </row>
    <row r="3" spans="1:9" x14ac:dyDescent="0.3">
      <c r="A3" t="s">
        <v>33</v>
      </c>
      <c r="B3" t="s">
        <v>52</v>
      </c>
      <c r="C3" t="s">
        <v>51</v>
      </c>
      <c r="D3">
        <v>4500</v>
      </c>
      <c r="E3">
        <v>4360</v>
      </c>
      <c r="F3">
        <v>4220</v>
      </c>
      <c r="G3">
        <v>4080</v>
      </c>
      <c r="H3">
        <v>3940</v>
      </c>
      <c r="I3">
        <v>3800</v>
      </c>
    </row>
    <row r="4" spans="1:9" x14ac:dyDescent="0.3">
      <c r="A4" t="s">
        <v>53</v>
      </c>
      <c r="B4" t="s">
        <v>54</v>
      </c>
      <c r="C4" t="s">
        <v>55</v>
      </c>
      <c r="D4">
        <v>4</v>
      </c>
      <c r="E4">
        <v>3.8</v>
      </c>
      <c r="F4">
        <v>3.6</v>
      </c>
      <c r="G4">
        <v>3.5</v>
      </c>
      <c r="H4">
        <v>3.4</v>
      </c>
      <c r="I4">
        <v>3.3</v>
      </c>
    </row>
    <row r="5" spans="1:9" x14ac:dyDescent="0.3">
      <c r="A5" t="s">
        <v>39</v>
      </c>
      <c r="B5" t="s">
        <v>52</v>
      </c>
      <c r="C5" t="s">
        <v>55</v>
      </c>
      <c r="D5">
        <v>130</v>
      </c>
      <c r="E5">
        <v>128</v>
      </c>
      <c r="F5">
        <v>126</v>
      </c>
      <c r="G5">
        <v>124</v>
      </c>
      <c r="H5">
        <v>122</v>
      </c>
      <c r="I5">
        <v>120</v>
      </c>
    </row>
    <row r="6" spans="1:9" x14ac:dyDescent="0.3">
      <c r="A6" t="s">
        <v>56</v>
      </c>
      <c r="B6" t="s">
        <v>57</v>
      </c>
      <c r="C6" t="s">
        <v>58</v>
      </c>
      <c r="D6">
        <v>1600</v>
      </c>
      <c r="E6">
        <v>1530</v>
      </c>
      <c r="F6">
        <v>1460</v>
      </c>
      <c r="G6">
        <v>1390</v>
      </c>
      <c r="H6">
        <v>1320</v>
      </c>
      <c r="I6">
        <v>1250</v>
      </c>
    </row>
    <row r="7" spans="1:9" x14ac:dyDescent="0.3">
      <c r="A7" t="s">
        <v>59</v>
      </c>
      <c r="B7" t="s">
        <v>60</v>
      </c>
      <c r="C7" t="s">
        <v>58</v>
      </c>
      <c r="D7">
        <v>1400</v>
      </c>
      <c r="E7">
        <v>1370</v>
      </c>
      <c r="F7">
        <v>1340</v>
      </c>
      <c r="G7">
        <v>1310</v>
      </c>
      <c r="H7">
        <v>1280</v>
      </c>
      <c r="I7">
        <v>1250</v>
      </c>
    </row>
    <row r="8" spans="1:9" x14ac:dyDescent="0.3">
      <c r="A8" t="s">
        <v>61</v>
      </c>
      <c r="B8" t="s">
        <v>60</v>
      </c>
      <c r="C8" t="s">
        <v>62</v>
      </c>
      <c r="D8">
        <v>1360</v>
      </c>
      <c r="E8">
        <v>1282</v>
      </c>
      <c r="F8">
        <v>1204</v>
      </c>
      <c r="G8">
        <v>1126</v>
      </c>
      <c r="H8">
        <v>1048</v>
      </c>
      <c r="I8">
        <v>970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46" customWidth="1"/>
    <col min="3" max="8" width="12" customWidth="1"/>
  </cols>
  <sheetData>
    <row r="1" spans="1:8" x14ac:dyDescent="0.3">
      <c r="A1" s="1" t="s">
        <v>15</v>
      </c>
      <c r="B1" s="1" t="s">
        <v>63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26</v>
      </c>
      <c r="B2" t="s">
        <v>64</v>
      </c>
      <c r="C2">
        <v>8.1</v>
      </c>
      <c r="D2">
        <v>8.1</v>
      </c>
      <c r="E2">
        <v>8.1</v>
      </c>
      <c r="F2">
        <v>8.1</v>
      </c>
      <c r="G2">
        <v>8.1</v>
      </c>
      <c r="H2">
        <v>8.1</v>
      </c>
    </row>
    <row r="3" spans="1:8" x14ac:dyDescent="0.3">
      <c r="A3" t="s">
        <v>33</v>
      </c>
      <c r="B3" t="s">
        <v>65</v>
      </c>
      <c r="C3">
        <v>3.75</v>
      </c>
      <c r="D3">
        <v>3.75</v>
      </c>
      <c r="E3">
        <v>3.75</v>
      </c>
      <c r="F3">
        <v>3.75</v>
      </c>
      <c r="G3">
        <v>3.75</v>
      </c>
      <c r="H3">
        <v>3.75</v>
      </c>
    </row>
    <row r="4" spans="1:8" x14ac:dyDescent="0.3">
      <c r="A4" t="s">
        <v>36</v>
      </c>
      <c r="B4" t="s">
        <v>66</v>
      </c>
      <c r="C4">
        <v>120</v>
      </c>
      <c r="D4">
        <v>120</v>
      </c>
      <c r="E4">
        <v>120</v>
      </c>
      <c r="F4">
        <v>120</v>
      </c>
      <c r="G4">
        <v>120</v>
      </c>
      <c r="H4">
        <v>120</v>
      </c>
    </row>
    <row r="5" spans="1:8" x14ac:dyDescent="0.3">
      <c r="A5" t="s">
        <v>39</v>
      </c>
      <c r="B5" t="s">
        <v>67</v>
      </c>
      <c r="C5">
        <v>0.1</v>
      </c>
      <c r="D5">
        <v>0.1</v>
      </c>
      <c r="E5">
        <v>0.1</v>
      </c>
      <c r="F5">
        <v>0.1</v>
      </c>
      <c r="G5">
        <v>0.1</v>
      </c>
      <c r="H5">
        <v>0.1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3" customWidth="1"/>
    <col min="3" max="3" width="47" customWidth="1"/>
    <col min="4" max="9" width="12" customWidth="1"/>
  </cols>
  <sheetData>
    <row r="1" spans="1:9" x14ac:dyDescent="0.3">
      <c r="A1" s="1" t="s">
        <v>17</v>
      </c>
      <c r="B1" s="1" t="s">
        <v>19</v>
      </c>
      <c r="C1" s="1" t="s">
        <v>63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</row>
    <row r="2" spans="1:9" x14ac:dyDescent="0.3">
      <c r="A2" t="s">
        <v>28</v>
      </c>
      <c r="B2" t="s">
        <v>43</v>
      </c>
      <c r="C2" t="s">
        <v>68</v>
      </c>
      <c r="D2">
        <v>0.95</v>
      </c>
      <c r="E2">
        <v>0.95</v>
      </c>
      <c r="F2">
        <v>0.95</v>
      </c>
      <c r="G2">
        <v>0.95</v>
      </c>
      <c r="H2">
        <v>0.95</v>
      </c>
      <c r="I2">
        <v>0.95</v>
      </c>
    </row>
    <row r="3" spans="1:9" x14ac:dyDescent="0.3">
      <c r="A3" t="s">
        <v>28</v>
      </c>
      <c r="B3" t="s">
        <v>30</v>
      </c>
      <c r="C3" t="s">
        <v>69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9" x14ac:dyDescent="0.3">
      <c r="A4" t="s">
        <v>34</v>
      </c>
      <c r="B4" t="s">
        <v>43</v>
      </c>
      <c r="C4" t="s">
        <v>70</v>
      </c>
      <c r="D4">
        <v>0.64</v>
      </c>
      <c r="E4">
        <v>0.64</v>
      </c>
      <c r="F4">
        <v>0.64</v>
      </c>
      <c r="G4">
        <v>0.64</v>
      </c>
      <c r="H4">
        <v>0.64</v>
      </c>
      <c r="I4">
        <v>0.64</v>
      </c>
    </row>
    <row r="5" spans="1:9" x14ac:dyDescent="0.3">
      <c r="A5" t="s">
        <v>34</v>
      </c>
      <c r="B5" t="s">
        <v>30</v>
      </c>
      <c r="C5" t="s">
        <v>71</v>
      </c>
      <c r="D5">
        <v>0.93</v>
      </c>
      <c r="E5">
        <v>0.93</v>
      </c>
      <c r="F5">
        <v>0.93</v>
      </c>
      <c r="G5">
        <v>0.93</v>
      </c>
      <c r="H5">
        <v>0.93</v>
      </c>
      <c r="I5">
        <v>0.93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"/>
  <sheetViews>
    <sheetView workbookViewId="0">
      <pane ySplit="1" topLeftCell="A2" activePane="bottomLeft" state="frozen"/>
      <selection pane="bottomLeft" activeCell="A4" sqref="A4"/>
    </sheetView>
  </sheetViews>
  <sheetFormatPr defaultRowHeight="14.4" x14ac:dyDescent="0.3"/>
  <cols>
    <col min="1" max="1" width="30" customWidth="1"/>
    <col min="2" max="2" width="14" customWidth="1"/>
    <col min="3" max="7" width="13" customWidth="1"/>
    <col min="8" max="8" width="14" customWidth="1"/>
  </cols>
  <sheetData>
    <row r="1" spans="1:8" x14ac:dyDescent="0.3">
      <c r="A1" s="1" t="s">
        <v>11</v>
      </c>
      <c r="B1" s="1" t="s">
        <v>72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73</v>
      </c>
      <c r="B2" t="s">
        <v>74</v>
      </c>
      <c r="C2">
        <f>132*10^6</f>
        <v>132000000</v>
      </c>
      <c r="D2">
        <f t="shared" ref="D2:F2" si="0">E2-(1.2*10^6)</f>
        <v>133200000</v>
      </c>
      <c r="E2">
        <f t="shared" si="0"/>
        <v>134400000</v>
      </c>
      <c r="F2">
        <f t="shared" si="0"/>
        <v>135600000</v>
      </c>
      <c r="G2">
        <f>H2-(1.2*10^6)</f>
        <v>136800000</v>
      </c>
      <c r="H2">
        <f>138*10^6</f>
        <v>138000000</v>
      </c>
    </row>
    <row r="3" spans="1:8" x14ac:dyDescent="0.3">
      <c r="A3" t="s">
        <v>75</v>
      </c>
      <c r="B3" t="s">
        <v>74</v>
      </c>
      <c r="C3">
        <f>102*10^9</f>
        <v>102000000000</v>
      </c>
      <c r="D3">
        <f>103*10^9</f>
        <v>103000000000</v>
      </c>
      <c r="E3">
        <f>104*10^9</f>
        <v>104000000000</v>
      </c>
      <c r="F3">
        <f>105*10^9</f>
        <v>105000000000</v>
      </c>
      <c r="G3">
        <f>106*10^9</f>
        <v>106000000000</v>
      </c>
      <c r="H3">
        <f>107*10^9</f>
        <v>107000000000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7" customWidth="1"/>
    <col min="2" max="2" width="16" customWidth="1"/>
    <col min="3" max="3" width="26" customWidth="1"/>
    <col min="4" max="4" width="14" customWidth="1"/>
    <col min="5" max="5" width="24" customWidth="1"/>
    <col min="6" max="11" width="12" customWidth="1"/>
  </cols>
  <sheetData>
    <row r="1" spans="1:11" x14ac:dyDescent="0.3">
      <c r="A1" s="1" t="s">
        <v>76</v>
      </c>
      <c r="B1" s="1" t="s">
        <v>17</v>
      </c>
      <c r="C1" s="1" t="s">
        <v>77</v>
      </c>
      <c r="D1" s="1" t="s">
        <v>72</v>
      </c>
      <c r="E1" s="1" t="s">
        <v>11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</row>
    <row r="2" spans="1:11" x14ac:dyDescent="0.3">
      <c r="A2" t="s">
        <v>78</v>
      </c>
      <c r="B2" t="s">
        <v>28</v>
      </c>
      <c r="C2" t="s">
        <v>79</v>
      </c>
      <c r="D2" t="s">
        <v>74</v>
      </c>
      <c r="E2" t="s">
        <v>73</v>
      </c>
      <c r="F2">
        <v>45</v>
      </c>
      <c r="G2">
        <v>45</v>
      </c>
      <c r="H2">
        <v>45</v>
      </c>
      <c r="I2">
        <v>45</v>
      </c>
      <c r="J2">
        <v>45</v>
      </c>
      <c r="K2">
        <v>45</v>
      </c>
    </row>
    <row r="3" spans="1:11" x14ac:dyDescent="0.3">
      <c r="A3" t="s">
        <v>80</v>
      </c>
      <c r="B3" t="s">
        <v>34</v>
      </c>
      <c r="C3" t="s">
        <v>79</v>
      </c>
      <c r="D3" t="s">
        <v>74</v>
      </c>
      <c r="E3" t="s">
        <v>73</v>
      </c>
      <c r="F3">
        <v>15</v>
      </c>
      <c r="G3">
        <v>15</v>
      </c>
      <c r="H3">
        <v>15</v>
      </c>
      <c r="I3">
        <v>15</v>
      </c>
      <c r="J3">
        <v>15</v>
      </c>
      <c r="K3">
        <v>15</v>
      </c>
    </row>
    <row r="4" spans="1:11" x14ac:dyDescent="0.3">
      <c r="A4" t="s">
        <v>81</v>
      </c>
      <c r="B4" t="s">
        <v>37</v>
      </c>
      <c r="C4" t="s">
        <v>82</v>
      </c>
      <c r="D4" t="s">
        <v>74</v>
      </c>
      <c r="E4" t="s">
        <v>73</v>
      </c>
      <c r="F4">
        <v>1000</v>
      </c>
      <c r="G4">
        <v>1000</v>
      </c>
      <c r="H4">
        <v>1000</v>
      </c>
      <c r="I4">
        <v>1000</v>
      </c>
      <c r="J4">
        <v>1000</v>
      </c>
      <c r="K4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26" customWidth="1"/>
    <col min="3" max="3" width="12" customWidth="1"/>
    <col min="4" max="4" width="16" customWidth="1"/>
  </cols>
  <sheetData>
    <row r="1" spans="1:4" x14ac:dyDescent="0.3">
      <c r="A1" s="1" t="s">
        <v>17</v>
      </c>
      <c r="B1" s="1" t="s">
        <v>83</v>
      </c>
      <c r="C1" s="1" t="s">
        <v>84</v>
      </c>
      <c r="D1" s="1" t="s">
        <v>85</v>
      </c>
    </row>
    <row r="2" spans="1:4" x14ac:dyDescent="0.3">
      <c r="A2" t="s">
        <v>28</v>
      </c>
      <c r="B2" t="s">
        <v>86</v>
      </c>
      <c r="C2">
        <v>18</v>
      </c>
      <c r="D2" t="s">
        <v>87</v>
      </c>
    </row>
    <row r="3" spans="1:4" x14ac:dyDescent="0.3">
      <c r="A3" t="s">
        <v>28</v>
      </c>
      <c r="B3" t="s">
        <v>88</v>
      </c>
      <c r="C3">
        <v>15</v>
      </c>
      <c r="D3" t="s">
        <v>87</v>
      </c>
    </row>
    <row r="4" spans="1:4" x14ac:dyDescent="0.3">
      <c r="A4" t="s">
        <v>34</v>
      </c>
      <c r="B4" t="s">
        <v>89</v>
      </c>
      <c r="C4">
        <v>12</v>
      </c>
      <c r="D4" t="s">
        <v>87</v>
      </c>
    </row>
    <row r="5" spans="1:4" x14ac:dyDescent="0.3">
      <c r="A5" t="s">
        <v>34</v>
      </c>
      <c r="B5" t="s">
        <v>90</v>
      </c>
      <c r="C5">
        <v>12</v>
      </c>
      <c r="D5" t="s">
        <v>87</v>
      </c>
    </row>
    <row r="6" spans="1:4" x14ac:dyDescent="0.3">
      <c r="A6" t="s">
        <v>37</v>
      </c>
      <c r="B6" t="s">
        <v>91</v>
      </c>
      <c r="C6">
        <v>10</v>
      </c>
      <c r="D6" t="s">
        <v>87</v>
      </c>
    </row>
    <row r="7" spans="1:4" x14ac:dyDescent="0.3">
      <c r="A7" t="s">
        <v>40</v>
      </c>
      <c r="B7" t="s">
        <v>39</v>
      </c>
      <c r="C7">
        <v>8</v>
      </c>
      <c r="D7" t="s">
        <v>87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5"/>
  <sheetViews>
    <sheetView topLeftCell="B1" workbookViewId="0">
      <pane ySplit="1" topLeftCell="A6" activePane="bottomLeft" state="frozen"/>
      <selection pane="bottomLeft" activeCell="D16" sqref="D16"/>
    </sheetView>
  </sheetViews>
  <sheetFormatPr defaultRowHeight="14.4" x14ac:dyDescent="0.3"/>
  <cols>
    <col min="1" max="4" width="48" customWidth="1"/>
  </cols>
  <sheetData>
    <row r="1" spans="1:4" x14ac:dyDescent="0.3">
      <c r="A1" s="1" t="s">
        <v>92</v>
      </c>
      <c r="B1" s="1" t="s">
        <v>93</v>
      </c>
      <c r="C1" s="1" t="s">
        <v>94</v>
      </c>
      <c r="D1" s="1" t="s">
        <v>95</v>
      </c>
    </row>
    <row r="2" spans="1:4" x14ac:dyDescent="0.3">
      <c r="A2" t="s">
        <v>96</v>
      </c>
      <c r="B2" t="s">
        <v>97</v>
      </c>
      <c r="C2" t="s">
        <v>98</v>
      </c>
      <c r="D2" t="s">
        <v>99</v>
      </c>
    </row>
    <row r="3" spans="1:4" x14ac:dyDescent="0.3">
      <c r="A3" t="s">
        <v>100</v>
      </c>
      <c r="B3" t="s">
        <v>101</v>
      </c>
      <c r="C3" t="s">
        <v>102</v>
      </c>
      <c r="D3" t="s">
        <v>103</v>
      </c>
    </row>
    <row r="4" spans="1:4" x14ac:dyDescent="0.3">
      <c r="A4" t="s">
        <v>104</v>
      </c>
      <c r="B4" t="s">
        <v>105</v>
      </c>
      <c r="C4" t="s">
        <v>106</v>
      </c>
      <c r="D4" t="s">
        <v>107</v>
      </c>
    </row>
    <row r="5" spans="1:4" x14ac:dyDescent="0.3">
      <c r="A5" t="s">
        <v>108</v>
      </c>
      <c r="B5" t="s">
        <v>109</v>
      </c>
      <c r="C5" t="s">
        <v>110</v>
      </c>
      <c r="D5" t="s">
        <v>111</v>
      </c>
    </row>
    <row r="6" spans="1:4" x14ac:dyDescent="0.3">
      <c r="A6" t="s">
        <v>112</v>
      </c>
      <c r="B6" t="s">
        <v>113</v>
      </c>
      <c r="C6" t="s">
        <v>114</v>
      </c>
      <c r="D6" t="s">
        <v>115</v>
      </c>
    </row>
    <row r="7" spans="1:4" x14ac:dyDescent="0.3">
      <c r="A7" t="s">
        <v>116</v>
      </c>
      <c r="B7" t="s">
        <v>117</v>
      </c>
      <c r="C7" t="s">
        <v>118</v>
      </c>
      <c r="D7" t="s">
        <v>119</v>
      </c>
    </row>
    <row r="8" spans="1:4" x14ac:dyDescent="0.3">
      <c r="A8" t="s">
        <v>120</v>
      </c>
      <c r="B8" t="s">
        <v>121</v>
      </c>
      <c r="C8" t="s">
        <v>122</v>
      </c>
      <c r="D8" t="s">
        <v>123</v>
      </c>
    </row>
    <row r="9" spans="1:4" x14ac:dyDescent="0.3">
      <c r="A9" t="s">
        <v>124</v>
      </c>
      <c r="B9" t="s">
        <v>125</v>
      </c>
      <c r="C9" t="s">
        <v>126</v>
      </c>
      <c r="D9" t="s">
        <v>127</v>
      </c>
    </row>
    <row r="10" spans="1:4" x14ac:dyDescent="0.3">
      <c r="A10" t="s">
        <v>141</v>
      </c>
      <c r="B10" t="s">
        <v>128</v>
      </c>
      <c r="C10" t="s">
        <v>142</v>
      </c>
      <c r="D10" t="s">
        <v>127</v>
      </c>
    </row>
    <row r="11" spans="1:4" x14ac:dyDescent="0.3">
      <c r="A11" t="s">
        <v>134</v>
      </c>
      <c r="B11" t="s">
        <v>133</v>
      </c>
      <c r="C11" t="s">
        <v>135</v>
      </c>
      <c r="D11" t="s">
        <v>136</v>
      </c>
    </row>
    <row r="12" spans="1:4" x14ac:dyDescent="0.3">
      <c r="A12" t="s">
        <v>138</v>
      </c>
      <c r="B12" t="s">
        <v>137</v>
      </c>
      <c r="C12" t="s">
        <v>139</v>
      </c>
      <c r="D12" t="s">
        <v>140</v>
      </c>
    </row>
    <row r="13" spans="1:4" x14ac:dyDescent="0.3">
      <c r="A13" t="s">
        <v>129</v>
      </c>
      <c r="B13" t="s">
        <v>130</v>
      </c>
      <c r="C13" t="s">
        <v>131</v>
      </c>
      <c r="D13" t="s">
        <v>132</v>
      </c>
    </row>
    <row r="14" spans="1:4" x14ac:dyDescent="0.3">
      <c r="A14" t="s">
        <v>144</v>
      </c>
      <c r="B14" t="s">
        <v>143</v>
      </c>
      <c r="C14" t="s">
        <v>145</v>
      </c>
      <c r="D14" t="s">
        <v>146</v>
      </c>
    </row>
    <row r="15" spans="1:4" x14ac:dyDescent="0.3">
      <c r="A15" t="s">
        <v>148</v>
      </c>
      <c r="B15" t="s">
        <v>147</v>
      </c>
      <c r="C15" t="s">
        <v>149</v>
      </c>
      <c r="D15" t="s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Input_Params</vt:lpstr>
      <vt:lpstr>Demand_Tech_Characteristics</vt:lpstr>
      <vt:lpstr>Baseline_Demand_Fuel_Mix</vt:lpstr>
      <vt:lpstr>Demand_Tech_Unit_Cost</vt:lpstr>
      <vt:lpstr>Demand_Tech_Efficiency</vt:lpstr>
      <vt:lpstr>Baseline_Efficiency</vt:lpstr>
      <vt:lpstr>Stock</vt:lpstr>
      <vt:lpstr>Demand_Scaling</vt:lpstr>
      <vt:lpstr>Stock_Turnover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thecalebhwhite@outlook.com</cp:lastModifiedBy>
  <dcterms:created xsi:type="dcterms:W3CDTF">2025-12-20T18:55:30Z</dcterms:created>
  <dcterms:modified xsi:type="dcterms:W3CDTF">2025-12-22T16:01:41Z</dcterms:modified>
</cp:coreProperties>
</file>
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eca\Downloads\"/>
    </mc:Choice>
  </mc:AlternateContent>
  <xr:revisionPtr revIDLastSave="0" documentId="13_ncr:1_{B05EDEE1-77C8-4FE6-8CD9-7CC7529A8FBE}" xr6:coauthVersionLast="47" xr6:coauthVersionMax="47" xr10:uidLastSave="{00000000-0000-0000-0000-000000000000}"/>
  <bookViews>
    <workbookView xWindow="-96" yWindow="0" windowWidth="11712" windowHeight="12336" activeTab="3" xr2:uid="{00000000-000D-0000-FFFF-FFFF00000000}"/>
  </bookViews>
  <sheets>
    <sheet name="Input_Params" sheetId="1" r:id="rId1"/>
    <sheet name="Demand_Tech_Characteristics" sheetId="2" r:id="rId2"/>
    <sheet name="Baseline_Demand_Fuel_Mix" sheetId="3" r:id="rId3"/>
    <sheet name="Demand_Tech_Unit_Cost" sheetId="4" r:id="rId4"/>
    <sheet name="Demand_Tech_Efficiency" sheetId="5" r:id="rId5"/>
    <sheet name="Baseline_Efficiency" sheetId="6" r:id="rId6"/>
    <sheet name="Stock" sheetId="7" r:id="rId7"/>
    <sheet name="Demand_Scaling" sheetId="8" r:id="rId8"/>
    <sheet name="Stock_Turnover" sheetId="9" r:id="rId9"/>
    <sheet name="Sourc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F4" i="4" s="1"/>
  <c r="G4" i="4" s="1"/>
  <c r="H4" i="4" s="1"/>
  <c r="I4" i="4" s="1"/>
  <c r="F11" i="4"/>
  <c r="G11" i="4" s="1"/>
  <c r="H11" i="4" s="1"/>
  <c r="I11" i="4" s="1"/>
  <c r="E11" i="4"/>
  <c r="E3" i="4"/>
  <c r="F3" i="4" s="1"/>
  <c r="G3" i="4" s="1"/>
  <c r="H3" i="4" s="1"/>
  <c r="I3" i="4" s="1"/>
  <c r="E2" i="4"/>
  <c r="F2" i="4" s="1"/>
  <c r="G2" i="4" s="1"/>
  <c r="H2" i="4" s="1"/>
  <c r="I2" i="4" s="1"/>
  <c r="H3" i="7"/>
  <c r="G3" i="7"/>
  <c r="F3" i="7"/>
  <c r="E3" i="7"/>
  <c r="D3" i="7"/>
  <c r="C3" i="7"/>
  <c r="H2" i="7"/>
  <c r="G2" i="7" s="1"/>
  <c r="F2" i="7" s="1"/>
  <c r="E2" i="7" s="1"/>
  <c r="D2" i="7" s="1"/>
  <c r="C2" i="7"/>
</calcChain>
</file>

<file path=xl/sharedStrings.xml><?xml version="1.0" encoding="utf-8"?>
<sst xmlns="http://schemas.openxmlformats.org/spreadsheetml/2006/main" count="307" uniqueCount="197">
  <si>
    <t>SheetName</t>
  </si>
  <si>
    <t>YrStartCol</t>
  </si>
  <si>
    <t>ValueName</t>
  </si>
  <si>
    <t>Demand_Tech_Characteristics</t>
  </si>
  <si>
    <t>NA</t>
  </si>
  <si>
    <t>measure_characteristics</t>
  </si>
  <si>
    <t>Baseline_Demand_Fuel_Mix</t>
  </si>
  <si>
    <t>share_of_service_demand</t>
  </si>
  <si>
    <t>Demand_Tech_Unit_Cost</t>
  </si>
  <si>
    <t>unit_cost_real_2024USD</t>
  </si>
  <si>
    <t>Demand_Tech_Efficiency</t>
  </si>
  <si>
    <t>efficiency_metric_value</t>
  </si>
  <si>
    <t>Baseline_Efficiency</t>
  </si>
  <si>
    <t>baseline_efficiency_value</t>
  </si>
  <si>
    <t>Stock</t>
  </si>
  <si>
    <t>stock_count_or_floor_area</t>
  </si>
  <si>
    <t>Demand_Scaling</t>
  </si>
  <si>
    <t>service_demand_scaler</t>
  </si>
  <si>
    <t>Stock_Turnover</t>
  </si>
  <si>
    <t>measure_life</t>
  </si>
  <si>
    <t>Demand Technology</t>
  </si>
  <si>
    <t>Sector</t>
  </si>
  <si>
    <t>Service Demand</t>
  </si>
  <si>
    <t>Technology Type</t>
  </si>
  <si>
    <t>Fuel Type</t>
  </si>
  <si>
    <t>Available Year</t>
  </si>
  <si>
    <t>Saturation Unit Basis</t>
  </si>
  <si>
    <t>Starting Saturation_percent</t>
  </si>
  <si>
    <t>Max Annual Saturation_percent</t>
  </si>
  <si>
    <t>Max Total Saturation_percent</t>
  </si>
  <si>
    <t>Uptake Function</t>
  </si>
  <si>
    <t>Air-Source Heat Pump (space heating)</t>
  </si>
  <si>
    <t>Residential</t>
  </si>
  <si>
    <t>Space Heating</t>
  </si>
  <si>
    <t>End-Use Tech</t>
  </si>
  <si>
    <t>Electricity</t>
  </si>
  <si>
    <t>Percent of households (main heating)</t>
  </si>
  <si>
    <t>logistic</t>
  </si>
  <si>
    <t>Heat Pump Water Heater (50 gal)</t>
  </si>
  <si>
    <t>Water Heating</t>
  </si>
  <si>
    <t>Percent of new electric storage WH shipments</t>
  </si>
  <si>
    <t>LED Lighting (general service lamps)</t>
  </si>
  <si>
    <t>Lighting</t>
  </si>
  <si>
    <t>Percent of sockets using LED</t>
  </si>
  <si>
    <t>Smart Thermostat</t>
  </si>
  <si>
    <t>HVAC Controls</t>
  </si>
  <si>
    <t>Controls</t>
  </si>
  <si>
    <t>Percent of internet households</t>
  </si>
  <si>
    <t>Natural Gas</t>
  </si>
  <si>
    <t>Propane</t>
  </si>
  <si>
    <t>Heating Oil</t>
  </si>
  <si>
    <t>Other (Wood/Other)</t>
  </si>
  <si>
    <t>Demand Type</t>
  </si>
  <si>
    <t>Capacity Unit</t>
  </si>
  <si>
    <t>Entity</t>
  </si>
  <si>
    <t>system</t>
  </si>
  <si>
    <t>Installed cost (USD)</t>
  </si>
  <si>
    <t>unit</t>
  </si>
  <si>
    <t>LED Lighting (general service lamp)</t>
  </si>
  <si>
    <t>bulb</t>
  </si>
  <si>
    <t>Retail price (USD)</t>
  </si>
  <si>
    <t>Utility-Scale Solar PV (one-axis tracking)</t>
  </si>
  <si>
    <t>kW</t>
  </si>
  <si>
    <t>Overnight capital cost (USD/kW)</t>
  </si>
  <si>
    <t>Land-Based Wind</t>
  </si>
  <si>
    <t>Li-ion Battery Storage (4-hour)</t>
  </si>
  <si>
    <t>Power component capex (USD/kW)</t>
  </si>
  <si>
    <t>Electric Storage Water Heater (50 gal)</t>
  </si>
  <si>
    <t>Gas Storage Water Heater (50 gal)</t>
  </si>
  <si>
    <t>High-Efficiency Gas Furnace (space heating)</t>
  </si>
  <si>
    <t>Weatherization: Air sealing + insulation package</t>
  </si>
  <si>
    <t>home</t>
  </si>
  <si>
    <t>Cold-Climate ASHP (ducted)</t>
  </si>
  <si>
    <t>Cold-Climate ASHP (ductless)</t>
  </si>
  <si>
    <t>Ground-Source Heat Pump (closed loop)</t>
  </si>
  <si>
    <t>Induction Cooktop (30 in)</t>
  </si>
  <si>
    <t>Electric Resistance Water Heater (50 gal)</t>
  </si>
  <si>
    <t>Commercial LED Retrofit (per fixture)</t>
  </si>
  <si>
    <t>fixture</t>
  </si>
  <si>
    <t>Commercial Smart Thermostat / EMS</t>
  </si>
  <si>
    <t>EV Charger Level 2 (Residential)</t>
  </si>
  <si>
    <t>EV Charger Level 2 (Commercial)</t>
  </si>
  <si>
    <t>port</t>
  </si>
  <si>
    <t>Advanced Power Strip (Residential)</t>
  </si>
  <si>
    <t>Efficiency Metric</t>
  </si>
  <si>
    <t>HSPF2 (ENERGY STAR Most Efficient threshold)</t>
  </si>
  <si>
    <t>UEF (example ENERGY STAR model)</t>
  </si>
  <si>
    <t>Minimum efficacy (lumens/W)</t>
  </si>
  <si>
    <t>HVAC savings (fractional, placeholder)</t>
  </si>
  <si>
    <t>AFUE (typical high-efficiency)</t>
  </si>
  <si>
    <t>COP-equivalent (resistance)</t>
  </si>
  <si>
    <t>UEF (example conventional tank)</t>
  </si>
  <si>
    <t>UEF (conventional electric tank, placeholder)</t>
  </si>
  <si>
    <t>Climate Zone</t>
  </si>
  <si>
    <t>Residential Households</t>
  </si>
  <si>
    <t>US-Average</t>
  </si>
  <si>
    <t>Commercial Floor Area (sqft)</t>
  </si>
  <si>
    <t>Demand</t>
  </si>
  <si>
    <t>Demand Units</t>
  </si>
  <si>
    <t>Residential Space Heating</t>
  </si>
  <si>
    <t>MMBtu per household-year</t>
  </si>
  <si>
    <t>Residential Water Heating</t>
  </si>
  <si>
    <t>Residential Lighting</t>
  </si>
  <si>
    <t>kWh per household-year</t>
  </si>
  <si>
    <t>Technology</t>
  </si>
  <si>
    <t>Lifetime</t>
  </si>
  <si>
    <t>Lifetime Units</t>
  </si>
  <si>
    <t>Gas Furnace</t>
  </si>
  <si>
    <t>years</t>
  </si>
  <si>
    <t>Air-Source Heat Pump</t>
  </si>
  <si>
    <t>Gas Storage Water Heater</t>
  </si>
  <si>
    <t>Heat Pump Water Heater</t>
  </si>
  <si>
    <t>LED Lamp</t>
  </si>
  <si>
    <t>Data Item</t>
  </si>
  <si>
    <t>Where Used</t>
  </si>
  <si>
    <t>Source</t>
  </si>
  <si>
    <t>Notes</t>
  </si>
  <si>
    <t>Heat pumps used for main space heating ~15% of U.S. households (2020)</t>
  </si>
  <si>
    <t>Demand_Tech_Characteristics.Starting Saturation_percent (ASHP)</t>
  </si>
  <si>
    <t>Harvard JCHS (2024) - 'More US Homes are Using Heat Pumps'</t>
  </si>
  <si>
    <t>Starting saturation proxy.</t>
  </si>
  <si>
    <t>DOE: &gt;50% of newly manufactured electric storage water heaters will be HPWH vs 3% today (May 2024)</t>
  </si>
  <si>
    <t>Demand_Tech_Characteristics.Starting Saturation_percent (HPWH)</t>
  </si>
  <si>
    <t>DOE (May 1, 2024) water heater standards press release</t>
  </si>
  <si>
    <t>3% used as starting saturation proxy.</t>
  </si>
  <si>
    <t>Smart thermostat adoption increased to 16% of U.S. internet homes by end of 2022</t>
  </si>
  <si>
    <t>Demand_Tech_Characteristics.Starting Saturation_percent (Smart Thermostat)</t>
  </si>
  <si>
    <t>SDM Magazine (Jan 26, 2024) citing Parks Associates</t>
  </si>
  <si>
    <t>Internet homes ≠ all homes.</t>
  </si>
  <si>
    <t>Space heating fuel shares (2024 ACS): electricity 42%, natural gas 47%</t>
  </si>
  <si>
    <t>Baseline_Demand_Fuel_Mix (Space Heating)</t>
  </si>
  <si>
    <t>EIA Today in Energy (Oct 10, 2025)</t>
  </si>
  <si>
    <t>Held constant 2025–2030 for sample.</t>
  </si>
  <si>
    <t>ENERGY STAR Most Efficient 2024 ASHP criteria includes HSPF2 thresholds (e.g., 8.1 split system)</t>
  </si>
  <si>
    <t>Demand_Tech_Efficiency (ASHP)</t>
  </si>
  <si>
    <t>ENERGY STAR Most Efficient 2024 ASHP Criteria (Oct 2023)</t>
  </si>
  <si>
    <t>Used 8.1 as conservative threshold value.</t>
  </si>
  <si>
    <t>HPWH example UEF 3.75 (50 gal hybrid)</t>
  </si>
  <si>
    <t>Demand_Tech_Efficiency (HPWH)</t>
  </si>
  <si>
    <t>Home Depot listing (Rheem Performance Platinum 50 gal HPWH)</t>
  </si>
  <si>
    <t>Example product; replace with portfolio averages later.</t>
  </si>
  <si>
    <t>DOE final rule raises common lightbulb efficiency to &gt;120 lumens/W</t>
  </si>
  <si>
    <t>Demand_Tech_Efficiency (LED)</t>
  </si>
  <si>
    <t>DOE (Apr 14, 2024) lightbulb standards press release</t>
  </si>
  <si>
    <t>Used as efficacy benchmark.</t>
  </si>
  <si>
    <t>ASHP typical project cost range $10k–$25k</t>
  </si>
  <si>
    <t>Demand_Tech_Unit_Cost (ASHP)</t>
  </si>
  <si>
    <t>ENERGY STAR Heat Pumps page</t>
  </si>
  <si>
    <t>Midpoint used; simple decline applied.</t>
  </si>
  <si>
    <t>HPWH typical cost range ~$1.5k–$3k. Update: Critical Error: Input likely covers only the hardware unit ($1.5k–$1.8k). Installation labor typically adds $2,500+.</t>
  </si>
  <si>
    <t>Demand_Tech_Unit_Cost (HPWH)</t>
  </si>
  <si>
    <t>ENERGY STAR HPWH pages. Update: Market Maturity: Hardware costs will drop, but labor (the largest chunk) is "sticky." Assumes ~15% total reduction as contractors gain efficiency. Home Depot/Lowes (Unit Price); Rheem/Energy Star (Install Labor Estimates)</t>
  </si>
  <si>
    <t>Too Low: LBL 2025 data shows capacity-weighted installed costs rose to ~$1.61/Watt_AC. NREL ATB Moderate scenarios are ~$1.30–$1.40/Watt_AC.</t>
  </si>
  <si>
    <t>Demand_Tech_Unit_Cost (Utility-Scale Solar PV)</t>
  </si>
  <si>
    <t>NREL ATB 2024 (Moderate): Projects a ~4.8% annual cost reduction for solar CAPEX as supply chains mature. LBL Utility-Scale Solar 2025 Update;</t>
  </si>
  <si>
    <t>~$1,600 / kW_AC</t>
  </si>
  <si>
    <t>Too Low: NREL ATB 2024 projects 4-hour battery costs at ~$340/kWh (~$1,360/kW). LBL 2024 data shows "All-in" CAPEX at ~$458/kWh ($1,832/kW).</t>
  </si>
  <si>
    <t>Demand_Tech_Unit_Cost (Li-ion Battery Storage)</t>
  </si>
  <si>
    <t>NREL 2025 Update (Mid Case): Projects 4-hr battery costs dropping to ~$243/kWh (~$972/kW) by 2030. NREL ATB 2024; LBL Utility-Scale Solar/Storage Report</t>
  </si>
  <si>
    <t>$1,300 – $1,800 / kW</t>
  </si>
  <si>
    <t>Gas storage water heater example UEF 0.64</t>
  </si>
  <si>
    <t>Baseline_Efficiency (Water Heating, Natural Gas)</t>
  </si>
  <si>
    <t>Home Depot listing (Rheem Performance Plus gas WH)</t>
  </si>
  <si>
    <t>Example product; replace with population-weighted later.</t>
  </si>
  <si>
    <t>~7% Low: The Census Bureau estimated ~131M households in 2023. Projections for 2025 should be 132M+.</t>
  </si>
  <si>
    <t>Stock (Residential Households)</t>
  </si>
  <si>
    <t>Demographic Growth: Extrapolates ~0.9% annual growth consistent with Census/AEO trends. US Census Bureau 2024 (Families &amp; Living Arrangements)</t>
  </si>
  <si>
    <t>~132 Million</t>
  </si>
  <si>
    <t>Low: The 2018 CBECS survey already estimated ~97 billion sqft. Growth trends put 2025 &gt;100B.</t>
  </si>
  <si>
    <t>Stock (Commercial Floor Area)</t>
  </si>
  <si>
    <t>Economic Growth: Extrapolates ~1.0% annual growth consistent with historical CBECS/AEO trends. EIA CBECS 2018; AEO 2023/2024 Projections</t>
  </si>
  <si>
    <t>~100–105 Billion sqft</t>
  </si>
  <si>
    <t>Whole-home air-source heat pump installed cost range ~$10,000–$25,000 (quotes; 2025)</t>
  </si>
  <si>
    <t>Demand_Tech_Unit_Cost (Air-Source Heat Pump)</t>
  </si>
  <si>
    <t>EnergySage heat pump costs (Oct 28, 2025)</t>
  </si>
  <si>
    <t>Used upper-mid value ($20k in 2025) to avoid underestimation; excludes incentives.</t>
  </si>
  <si>
    <t>Standard electric storage water heater unit cost ~$400–$900 (spring 2024)</t>
  </si>
  <si>
    <t>Demand_Tech_Unit_Cost (Electric Storage Water Heater)</t>
  </si>
  <si>
    <t>ENERGY STAR HPWH retailer strategy details (spring 2024)</t>
  </si>
  <si>
    <t>Installed cost set higher to include labor/ancillary materials.</t>
  </si>
  <si>
    <t>Gas storage water heater unit cost ~$400–$1,000 (spring 2024)</t>
  </si>
  <si>
    <t>Demand_Tech_Unit_Cost (Gas Storage Water Heater)</t>
  </si>
  <si>
    <t>New furnace costs can range ~$2,000–$14,000 (system replacement)</t>
  </si>
  <si>
    <t>Demand_Tech_Unit_Cost (High-Efficiency Gas Furnace)</t>
  </si>
  <si>
    <t>Carrier: cost of a new furnace (accessed 2025)</t>
  </si>
  <si>
    <t>Used $12k in 2025 as conservative high-efficiency installed cost.</t>
  </si>
  <si>
    <t>DOE Weatherization Assistance Program: average weatherization cost per unit ~$4,695 (fact sheet)</t>
  </si>
  <si>
    <t>Demand_Tech_Unit_Cost (Weatherization package)</t>
  </si>
  <si>
    <t>U.S. DOE WAP fact sheet (2021)</t>
  </si>
  <si>
    <t>Used $6.5k as a conservative installed package cost aligned with program caps/typical scope.</t>
  </si>
  <si>
    <t>Utility-Scale PV ATB: ~1.56 $/W_AC base year (2023 reference project)</t>
  </si>
  <si>
    <t>NREL ATB 2024 Utility-Scale PV page</t>
  </si>
  <si>
    <t>Set 2025 at $1.6k/kW to align with ATB reference cost and avoid underestimation.</t>
  </si>
  <si>
    <t>Land-Based Wind ATB: installed cost reference derived from LBNL / ATB reference project</t>
  </si>
  <si>
    <t>Demand_Tech_Unit_Cost (Land-Based Wind)</t>
  </si>
  <si>
    <t>NREL ATB 2024 Land-Based Wind page</t>
  </si>
  <si>
    <t>Set 2025 at $1.7k/kW as conservative installed cost; refine with resource class later.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</si>
</sst>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2" customWidth="1"/>
    <col min="3" max="3" width="27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>
        <v>3</v>
      </c>
      <c r="C3" t="s">
        <v>7</v>
      </c>
    </row>
    <row r="4" spans="1:3" x14ac:dyDescent="0.3">
      <c r="A4" t="s">
        <v>8</v>
      </c>
      <c r="B4">
        <v>4</v>
      </c>
      <c r="C4" t="s">
        <v>9</v>
      </c>
    </row>
    <row r="5" spans="1:3" x14ac:dyDescent="0.3">
      <c r="A5" t="s">
        <v>10</v>
      </c>
      <c r="B5">
        <v>3</v>
      </c>
      <c r="C5" t="s">
        <v>11</v>
      </c>
    </row>
    <row r="6" spans="1:3" x14ac:dyDescent="0.3">
      <c r="A6" t="s">
        <v>12</v>
      </c>
      <c r="B6">
        <v>4</v>
      </c>
      <c r="C6" t="s">
        <v>13</v>
      </c>
    </row>
    <row r="7" spans="1:3" x14ac:dyDescent="0.3">
      <c r="A7" t="s">
        <v>14</v>
      </c>
      <c r="B7">
        <v>3</v>
      </c>
      <c r="C7" t="s">
        <v>15</v>
      </c>
    </row>
    <row r="8" spans="1:3" x14ac:dyDescent="0.3">
      <c r="A8" t="s">
        <v>16</v>
      </c>
      <c r="B8">
        <v>6</v>
      </c>
      <c r="C8" t="s">
        <v>17</v>
      </c>
    </row>
    <row r="9" spans="1:3" x14ac:dyDescent="0.3">
      <c r="A9" t="s">
        <v>18</v>
      </c>
      <c r="B9" t="s">
        <v>4</v>
      </c>
      <c r="C9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pane ySplit="1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13" customWidth="1"/>
    <col min="3" max="3" width="16" customWidth="1"/>
    <col min="4" max="4" width="17" customWidth="1"/>
    <col min="5" max="5" width="13" customWidth="1"/>
    <col min="6" max="6" width="16" customWidth="1"/>
    <col min="7" max="7" width="46" customWidth="1"/>
    <col min="8" max="8" width="29" customWidth="1"/>
    <col min="9" max="9" width="31" customWidth="1"/>
    <col min="10" max="10" width="30" customWidth="1"/>
    <col min="11" max="11" width="17" customWidth="1"/>
  </cols>
  <sheetData>
    <row r="1" spans="1:11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 hidden="1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F2">
        <v>2025</v>
      </c>
      <c r="G2" t="s">
        <v>36</v>
      </c>
      <c r="H2">
        <v>15</v>
      </c>
      <c r="I2">
        <v>5</v>
      </c>
      <c r="J2">
        <v>80</v>
      </c>
      <c r="K2" t="s">
        <v>37</v>
      </c>
    </row>
    <row r="3" spans="1:11" x14ac:dyDescent="0.3">
      <c r="A3" t="s">
        <v>38</v>
      </c>
      <c r="B3" t="s">
        <v>32</v>
      </c>
      <c r="C3" t="s">
        <v>39</v>
      </c>
      <c r="D3" t="s">
        <v>34</v>
      </c>
      <c r="E3" t="s">
        <v>35</v>
      </c>
      <c r="F3">
        <v>2025</v>
      </c>
      <c r="G3" t="s">
        <v>40</v>
      </c>
      <c r="H3">
        <v>2.5</v>
      </c>
      <c r="I3">
        <v>4</v>
      </c>
      <c r="J3">
        <v>82.5</v>
      </c>
      <c r="K3" t="s">
        <v>37</v>
      </c>
    </row>
    <row r="4" spans="1:11" x14ac:dyDescent="0.3">
      <c r="A4" t="s">
        <v>41</v>
      </c>
      <c r="B4" t="s">
        <v>32</v>
      </c>
      <c r="C4" t="s">
        <v>42</v>
      </c>
      <c r="D4" t="s">
        <v>34</v>
      </c>
      <c r="E4" t="s">
        <v>35</v>
      </c>
      <c r="F4">
        <v>2025</v>
      </c>
      <c r="G4" t="s">
        <v>43</v>
      </c>
      <c r="H4">
        <v>70</v>
      </c>
      <c r="I4">
        <v>6</v>
      </c>
      <c r="J4">
        <v>95</v>
      </c>
      <c r="K4" t="s">
        <v>37</v>
      </c>
    </row>
    <row r="5" spans="1:11" x14ac:dyDescent="0.3">
      <c r="A5" t="s">
        <v>44</v>
      </c>
      <c r="B5" t="s">
        <v>32</v>
      </c>
      <c r="C5" t="s">
        <v>45</v>
      </c>
      <c r="D5" t="s">
        <v>46</v>
      </c>
      <c r="E5" t="s">
        <v>35</v>
      </c>
      <c r="F5">
        <v>2025</v>
      </c>
      <c r="G5" t="s">
        <v>47</v>
      </c>
      <c r="H5">
        <v>16</v>
      </c>
      <c r="I5">
        <v>5</v>
      </c>
      <c r="J5">
        <v>80</v>
      </c>
      <c r="K5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0" customWidth="1"/>
    <col min="3" max="8" width="12" customWidth="1"/>
  </cols>
  <sheetData>
    <row r="1" spans="1:8" x14ac:dyDescent="0.3">
      <c r="A1" s="1" t="s">
        <v>22</v>
      </c>
      <c r="B1" s="1" t="s">
        <v>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</row>
    <row r="2" spans="1:8" x14ac:dyDescent="0.3">
      <c r="A2" t="s">
        <v>33</v>
      </c>
      <c r="B2" t="s">
        <v>48</v>
      </c>
      <c r="C2">
        <v>0.47</v>
      </c>
      <c r="D2">
        <v>0.47</v>
      </c>
      <c r="E2">
        <v>0.47</v>
      </c>
      <c r="F2">
        <v>0.47</v>
      </c>
      <c r="G2">
        <v>0.47</v>
      </c>
      <c r="H2">
        <v>0.47</v>
      </c>
    </row>
    <row r="3" spans="1:8" x14ac:dyDescent="0.3">
      <c r="A3" t="s">
        <v>33</v>
      </c>
      <c r="B3" t="s">
        <v>35</v>
      </c>
      <c r="C3">
        <v>0.42</v>
      </c>
      <c r="D3">
        <v>0.42</v>
      </c>
      <c r="E3">
        <v>0.42</v>
      </c>
      <c r="F3">
        <v>0.42</v>
      </c>
      <c r="G3">
        <v>0.42</v>
      </c>
      <c r="H3">
        <v>0.42</v>
      </c>
    </row>
    <row r="4" spans="1:8" x14ac:dyDescent="0.3">
      <c r="A4" t="s">
        <v>33</v>
      </c>
      <c r="B4" t="s">
        <v>49</v>
      </c>
      <c r="C4">
        <v>0.05</v>
      </c>
      <c r="D4">
        <v>0.05</v>
      </c>
      <c r="E4">
        <v>0.05</v>
      </c>
      <c r="F4">
        <v>0.05</v>
      </c>
      <c r="G4">
        <v>0.05</v>
      </c>
      <c r="H4">
        <v>0.05</v>
      </c>
    </row>
    <row r="5" spans="1:8" x14ac:dyDescent="0.3">
      <c r="A5" t="s">
        <v>33</v>
      </c>
      <c r="B5" t="s">
        <v>50</v>
      </c>
      <c r="C5">
        <v>0.03</v>
      </c>
      <c r="D5">
        <v>0.03</v>
      </c>
      <c r="E5">
        <v>0.03</v>
      </c>
      <c r="F5">
        <v>0.03</v>
      </c>
      <c r="G5">
        <v>0.03</v>
      </c>
      <c r="H5">
        <v>0.03</v>
      </c>
    </row>
    <row r="6" spans="1:8" x14ac:dyDescent="0.3">
      <c r="A6" t="s">
        <v>33</v>
      </c>
      <c r="B6" t="s">
        <v>51</v>
      </c>
      <c r="C6">
        <v>0.03</v>
      </c>
      <c r="D6">
        <v>0.03</v>
      </c>
      <c r="E6">
        <v>0.03</v>
      </c>
      <c r="F6">
        <v>0.03</v>
      </c>
      <c r="G6">
        <v>0.03</v>
      </c>
      <c r="H6">
        <v>0.03</v>
      </c>
    </row>
    <row r="7" spans="1:8" x14ac:dyDescent="0.3">
      <c r="A7" t="s">
        <v>39</v>
      </c>
      <c r="B7" t="s">
        <v>48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</v>
      </c>
    </row>
    <row r="8" spans="1:8" x14ac:dyDescent="0.3">
      <c r="A8" t="s">
        <v>39</v>
      </c>
      <c r="B8" t="s">
        <v>35</v>
      </c>
      <c r="C8">
        <v>0.45</v>
      </c>
      <c r="D8">
        <v>0.45</v>
      </c>
      <c r="E8">
        <v>0.45</v>
      </c>
      <c r="F8">
        <v>0.45</v>
      </c>
      <c r="G8">
        <v>0.45</v>
      </c>
      <c r="H8">
        <v>0.45</v>
      </c>
    </row>
    <row r="9" spans="1:8" x14ac:dyDescent="0.3">
      <c r="A9" t="s">
        <v>39</v>
      </c>
      <c r="B9" t="s">
        <v>49</v>
      </c>
      <c r="C9">
        <v>0.03</v>
      </c>
      <c r="D9">
        <v>0.03</v>
      </c>
      <c r="E9">
        <v>0.03</v>
      </c>
      <c r="F9">
        <v>0.03</v>
      </c>
      <c r="G9">
        <v>0.03</v>
      </c>
      <c r="H9">
        <v>0.03</v>
      </c>
    </row>
    <row r="10" spans="1:8" x14ac:dyDescent="0.3">
      <c r="A10" t="s">
        <v>39</v>
      </c>
      <c r="B10" t="s">
        <v>50</v>
      </c>
      <c r="C10">
        <v>0.02</v>
      </c>
      <c r="D10">
        <v>0.02</v>
      </c>
      <c r="E10">
        <v>0.02</v>
      </c>
      <c r="F10">
        <v>0.02</v>
      </c>
      <c r="G10">
        <v>0.02</v>
      </c>
      <c r="H10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tabSelected="1" zoomScale="97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4" customWidth="1"/>
    <col min="2" max="2" width="15" customWidth="1"/>
    <col min="3" max="3" width="33" customWidth="1"/>
    <col min="4" max="9" width="12" customWidth="1"/>
  </cols>
  <sheetData>
    <row r="1" spans="1:9" x14ac:dyDescent="0.3">
      <c r="A1" s="1" t="s">
        <v>52</v>
      </c>
      <c r="B1" s="1" t="s">
        <v>53</v>
      </c>
      <c r="C1" s="1" t="s">
        <v>54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</row>
    <row r="2" spans="1:9" x14ac:dyDescent="0.3">
      <c r="A2" t="s">
        <v>31</v>
      </c>
      <c r="B2" t="s">
        <v>55</v>
      </c>
      <c r="C2" t="s">
        <v>56</v>
      </c>
      <c r="D2" s="2">
        <v>16500</v>
      </c>
      <c r="E2" s="2">
        <f>D2-(D2*0.02)</f>
        <v>16170</v>
      </c>
      <c r="F2" s="2">
        <f t="shared" ref="F2:I2" si="0">E2-(E2*0.02)</f>
        <v>15846.6</v>
      </c>
      <c r="G2" s="2">
        <f t="shared" si="0"/>
        <v>15529.668</v>
      </c>
      <c r="H2" s="2">
        <f t="shared" si="0"/>
        <v>15219.074639999999</v>
      </c>
      <c r="I2" s="2">
        <f t="shared" si="0"/>
        <v>14914.6931472</v>
      </c>
    </row>
    <row r="3" spans="1:9" x14ac:dyDescent="0.3">
      <c r="A3" t="s">
        <v>38</v>
      </c>
      <c r="B3" t="s">
        <v>57</v>
      </c>
      <c r="C3" t="s">
        <v>56</v>
      </c>
      <c r="D3" s="2">
        <v>5900</v>
      </c>
      <c r="E3" s="2">
        <f>D3-(D3*0.015)</f>
        <v>5811.5</v>
      </c>
      <c r="F3" s="2">
        <f t="shared" ref="F3:I3" si="1">E3-(E3*0.015)</f>
        <v>5724.3275000000003</v>
      </c>
      <c r="G3" s="2">
        <f t="shared" si="1"/>
        <v>5638.4625875000002</v>
      </c>
      <c r="H3" s="2">
        <f t="shared" si="1"/>
        <v>5553.8856486875002</v>
      </c>
      <c r="I3" s="2">
        <f t="shared" si="1"/>
        <v>5470.577363957188</v>
      </c>
    </row>
    <row r="4" spans="1:9" x14ac:dyDescent="0.3">
      <c r="A4" t="s">
        <v>58</v>
      </c>
      <c r="B4" t="s">
        <v>59</v>
      </c>
      <c r="C4" t="s">
        <v>60</v>
      </c>
      <c r="D4" s="2">
        <v>4</v>
      </c>
      <c r="E4" s="2">
        <f>D4-(D4*0.03)</f>
        <v>3.88</v>
      </c>
      <c r="F4" s="2">
        <f t="shared" ref="F4:I4" si="2">E4-(E4*0.03)</f>
        <v>3.7635999999999998</v>
      </c>
      <c r="G4" s="2">
        <f t="shared" si="2"/>
        <v>3.6506919999999998</v>
      </c>
      <c r="H4" s="2">
        <f t="shared" si="2"/>
        <v>3.5411712399999997</v>
      </c>
      <c r="I4" s="2">
        <f t="shared" si="2"/>
        <v>3.4349361027999996</v>
      </c>
    </row>
    <row r="5" spans="1:9" x14ac:dyDescent="0.3">
      <c r="A5" t="s">
        <v>44</v>
      </c>
      <c r="B5" t="s">
        <v>57</v>
      </c>
      <c r="C5" t="s">
        <v>60</v>
      </c>
      <c r="D5" s="2">
        <v>130</v>
      </c>
      <c r="E5" s="2">
        <v>128</v>
      </c>
      <c r="F5" s="2">
        <v>126</v>
      </c>
      <c r="G5" s="2">
        <v>124</v>
      </c>
      <c r="H5" s="2">
        <v>122</v>
      </c>
      <c r="I5" s="2">
        <v>120</v>
      </c>
    </row>
    <row r="6" spans="1:9" x14ac:dyDescent="0.3">
      <c r="A6" t="s">
        <v>61</v>
      </c>
      <c r="B6" t="s">
        <v>62</v>
      </c>
      <c r="C6" t="s">
        <v>63</v>
      </c>
      <c r="D6" s="2">
        <v>1495</v>
      </c>
      <c r="E6" s="2">
        <v>1392.09</v>
      </c>
      <c r="F6" s="2">
        <v>1296.27</v>
      </c>
      <c r="G6" s="2">
        <v>1207.04</v>
      </c>
      <c r="H6" s="2">
        <v>1123.96</v>
      </c>
      <c r="I6" s="2">
        <v>1046.5899999999999</v>
      </c>
    </row>
    <row r="7" spans="1:9" x14ac:dyDescent="0.3">
      <c r="A7" t="s">
        <v>64</v>
      </c>
      <c r="B7" t="s">
        <v>62</v>
      </c>
      <c r="C7" t="s">
        <v>63</v>
      </c>
      <c r="D7" s="2">
        <v>1700</v>
      </c>
      <c r="E7" s="2">
        <v>1670</v>
      </c>
      <c r="F7" s="2">
        <v>1640</v>
      </c>
      <c r="G7" s="2">
        <v>1610</v>
      </c>
      <c r="H7" s="2">
        <v>1580</v>
      </c>
      <c r="I7" s="2">
        <v>1550</v>
      </c>
    </row>
    <row r="8" spans="1:9" x14ac:dyDescent="0.3">
      <c r="A8" t="s">
        <v>65</v>
      </c>
      <c r="B8" t="s">
        <v>62</v>
      </c>
      <c r="C8" t="s">
        <v>66</v>
      </c>
      <c r="D8" s="2">
        <v>1360</v>
      </c>
      <c r="E8" s="2">
        <v>1203.5999999999999</v>
      </c>
      <c r="F8" s="2">
        <v>1065.19</v>
      </c>
      <c r="G8" s="2">
        <v>942.69</v>
      </c>
      <c r="H8" s="2">
        <v>834.28</v>
      </c>
      <c r="I8" s="2">
        <v>738.34</v>
      </c>
    </row>
    <row r="9" spans="1:9" x14ac:dyDescent="0.3">
      <c r="A9" t="s">
        <v>67</v>
      </c>
      <c r="B9" t="s">
        <v>57</v>
      </c>
      <c r="C9" t="s">
        <v>56</v>
      </c>
      <c r="D9" s="2">
        <v>2500</v>
      </c>
      <c r="E9" s="2">
        <v>2450</v>
      </c>
      <c r="F9" s="2">
        <v>2400</v>
      </c>
      <c r="G9" s="2">
        <v>2350</v>
      </c>
      <c r="H9" s="2">
        <v>2300</v>
      </c>
      <c r="I9" s="2">
        <v>2250</v>
      </c>
    </row>
    <row r="10" spans="1:9" x14ac:dyDescent="0.3">
      <c r="A10" t="s">
        <v>68</v>
      </c>
      <c r="B10" t="s">
        <v>57</v>
      </c>
      <c r="C10" t="s">
        <v>56</v>
      </c>
      <c r="D10" s="2">
        <v>3500</v>
      </c>
      <c r="E10" s="2">
        <v>3430</v>
      </c>
      <c r="F10" s="2">
        <v>3360</v>
      </c>
      <c r="G10" s="2">
        <v>3290</v>
      </c>
      <c r="H10" s="2">
        <v>3220</v>
      </c>
      <c r="I10" s="2">
        <v>3150</v>
      </c>
    </row>
    <row r="11" spans="1:9" x14ac:dyDescent="0.3">
      <c r="A11" t="s">
        <v>69</v>
      </c>
      <c r="B11" t="s">
        <v>55</v>
      </c>
      <c r="C11" t="s">
        <v>56</v>
      </c>
      <c r="D11" s="2">
        <v>6000</v>
      </c>
      <c r="E11" s="2">
        <f>D11-(D11*0.02)</f>
        <v>5880</v>
      </c>
      <c r="F11" s="2">
        <f t="shared" ref="F11:I11" si="3">E11-(E11*0.02)</f>
        <v>5762.4</v>
      </c>
      <c r="G11" s="2">
        <f t="shared" si="3"/>
        <v>5647.152</v>
      </c>
      <c r="H11" s="2">
        <f t="shared" si="3"/>
        <v>5534.2089599999999</v>
      </c>
      <c r="I11" s="2">
        <f t="shared" si="3"/>
        <v>5423.5247808000004</v>
      </c>
    </row>
    <row r="12" spans="1:9" x14ac:dyDescent="0.3">
      <c r="A12" t="s">
        <v>70</v>
      </c>
      <c r="B12" t="s">
        <v>71</v>
      </c>
      <c r="C12" t="s">
        <v>56</v>
      </c>
      <c r="D12" s="2">
        <v>6500</v>
      </c>
      <c r="E12" s="2">
        <v>6435</v>
      </c>
      <c r="F12" s="2">
        <v>6370</v>
      </c>
      <c r="G12" s="2">
        <v>6305</v>
      </c>
      <c r="H12" s="2">
        <v>6240</v>
      </c>
      <c r="I12" s="2">
        <v>6175</v>
      </c>
    </row>
    <row r="13" spans="1:9" x14ac:dyDescent="0.3">
      <c r="A13" t="s">
        <v>72</v>
      </c>
      <c r="B13" t="s">
        <v>55</v>
      </c>
      <c r="C13" t="s">
        <v>56</v>
      </c>
      <c r="D13" s="2">
        <v>24000</v>
      </c>
      <c r="E13" s="2">
        <v>23500</v>
      </c>
      <c r="F13" s="2">
        <v>23000</v>
      </c>
      <c r="G13" s="2">
        <v>22500</v>
      </c>
      <c r="H13" s="2">
        <v>22000</v>
      </c>
      <c r="I13" s="2">
        <v>21500</v>
      </c>
    </row>
    <row r="14" spans="1:9" x14ac:dyDescent="0.3">
      <c r="A14" t="s">
        <v>73</v>
      </c>
      <c r="B14" t="s">
        <v>55</v>
      </c>
      <c r="C14" t="s">
        <v>56</v>
      </c>
      <c r="D14" s="2">
        <v>22000</v>
      </c>
      <c r="E14" s="2">
        <v>21600</v>
      </c>
      <c r="F14" s="2">
        <v>21200</v>
      </c>
      <c r="G14" s="2">
        <v>20800</v>
      </c>
      <c r="H14" s="2">
        <v>20400</v>
      </c>
      <c r="I14" s="2">
        <v>20000</v>
      </c>
    </row>
    <row r="15" spans="1:9" x14ac:dyDescent="0.3">
      <c r="A15" t="s">
        <v>74</v>
      </c>
      <c r="B15" t="s">
        <v>55</v>
      </c>
      <c r="C15" t="s">
        <v>56</v>
      </c>
      <c r="D15" s="2">
        <v>35000</v>
      </c>
      <c r="E15" s="2">
        <v>34500</v>
      </c>
      <c r="F15" s="2">
        <v>34000</v>
      </c>
      <c r="G15" s="2">
        <v>33500</v>
      </c>
      <c r="H15" s="2">
        <v>33000</v>
      </c>
      <c r="I15" s="2">
        <v>32500</v>
      </c>
    </row>
    <row r="16" spans="1:9" x14ac:dyDescent="0.3">
      <c r="A16" t="s">
        <v>75</v>
      </c>
      <c r="B16" t="s">
        <v>57</v>
      </c>
      <c r="C16" t="s">
        <v>56</v>
      </c>
      <c r="D16" s="2">
        <v>2800</v>
      </c>
      <c r="E16" s="2">
        <v>2750</v>
      </c>
      <c r="F16" s="2">
        <v>2700</v>
      </c>
      <c r="G16" s="2">
        <v>2650</v>
      </c>
      <c r="H16" s="2">
        <v>2600</v>
      </c>
      <c r="I16" s="2">
        <v>2550</v>
      </c>
    </row>
    <row r="17" spans="1:9" x14ac:dyDescent="0.3">
      <c r="A17" t="s">
        <v>76</v>
      </c>
      <c r="B17" t="s">
        <v>57</v>
      </c>
      <c r="C17" t="s">
        <v>56</v>
      </c>
      <c r="D17" s="2">
        <v>1200</v>
      </c>
      <c r="E17" s="2">
        <v>1180</v>
      </c>
      <c r="F17" s="2">
        <v>1160</v>
      </c>
      <c r="G17" s="2">
        <v>1140</v>
      </c>
      <c r="H17" s="2">
        <v>1120</v>
      </c>
      <c r="I17" s="2">
        <v>1100</v>
      </c>
    </row>
    <row r="18" spans="1:9" x14ac:dyDescent="0.3">
      <c r="A18" t="s">
        <v>77</v>
      </c>
      <c r="B18" t="s">
        <v>78</v>
      </c>
      <c r="C18" t="s">
        <v>56</v>
      </c>
      <c r="D18" s="2">
        <v>140</v>
      </c>
      <c r="E18" s="2">
        <v>138</v>
      </c>
      <c r="F18" s="2">
        <v>136</v>
      </c>
      <c r="G18" s="2">
        <v>134</v>
      </c>
      <c r="H18" s="2">
        <v>132</v>
      </c>
      <c r="I18" s="2">
        <v>130</v>
      </c>
    </row>
    <row r="19" spans="1:9" x14ac:dyDescent="0.3">
      <c r="A19" t="s">
        <v>79</v>
      </c>
      <c r="B19" t="s">
        <v>57</v>
      </c>
      <c r="C19" t="s">
        <v>56</v>
      </c>
      <c r="D19" s="2">
        <v>450</v>
      </c>
      <c r="E19" s="2">
        <v>445</v>
      </c>
      <c r="F19" s="2">
        <v>440</v>
      </c>
      <c r="G19" s="2">
        <v>435</v>
      </c>
      <c r="H19" s="2">
        <v>430</v>
      </c>
      <c r="I19" s="2">
        <v>425</v>
      </c>
    </row>
    <row r="20" spans="1:9" x14ac:dyDescent="0.3">
      <c r="A20" t="s">
        <v>80</v>
      </c>
      <c r="B20" t="s">
        <v>57</v>
      </c>
      <c r="C20" t="s">
        <v>56</v>
      </c>
      <c r="D20" s="2">
        <v>2200</v>
      </c>
      <c r="E20" s="2">
        <v>2150</v>
      </c>
      <c r="F20" s="2">
        <v>2100</v>
      </c>
      <c r="G20" s="2">
        <v>2050</v>
      </c>
      <c r="H20" s="2">
        <v>2000</v>
      </c>
      <c r="I20" s="2">
        <v>1950</v>
      </c>
    </row>
    <row r="21" spans="1:9" x14ac:dyDescent="0.3">
      <c r="A21" t="s">
        <v>81</v>
      </c>
      <c r="B21" t="s">
        <v>82</v>
      </c>
      <c r="C21" t="s">
        <v>56</v>
      </c>
      <c r="D21" s="2">
        <v>6500</v>
      </c>
      <c r="E21" s="2">
        <v>6400</v>
      </c>
      <c r="F21" s="2">
        <v>6300</v>
      </c>
      <c r="G21" s="2">
        <v>6200</v>
      </c>
      <c r="H21" s="2">
        <v>6100</v>
      </c>
      <c r="I21" s="2">
        <v>6000</v>
      </c>
    </row>
    <row r="22" spans="1:9" x14ac:dyDescent="0.3">
      <c r="A22" t="s">
        <v>83</v>
      </c>
      <c r="B22" t="s">
        <v>57</v>
      </c>
      <c r="C22" t="s">
        <v>56</v>
      </c>
      <c r="D22" s="2">
        <v>75</v>
      </c>
      <c r="E22" s="2">
        <v>74</v>
      </c>
      <c r="F22" s="2">
        <v>73</v>
      </c>
      <c r="G22" s="2">
        <v>72</v>
      </c>
      <c r="H22" s="2">
        <v>71</v>
      </c>
      <c r="I22" s="2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2" width="46" customWidth="1"/>
    <col min="3" max="8" width="12" customWidth="1"/>
  </cols>
  <sheetData>
    <row r="1" spans="1:8" x14ac:dyDescent="0.3">
      <c r="A1" s="1" t="s">
        <v>20</v>
      </c>
      <c r="B1" s="1" t="s">
        <v>84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</row>
    <row r="2" spans="1:8" x14ac:dyDescent="0.3">
      <c r="A2" t="s">
        <v>31</v>
      </c>
      <c r="B2" t="s">
        <v>85</v>
      </c>
      <c r="C2">
        <v>8.1</v>
      </c>
      <c r="D2">
        <v>8.1</v>
      </c>
      <c r="E2">
        <v>8.1</v>
      </c>
      <c r="F2">
        <v>8.1</v>
      </c>
      <c r="G2">
        <v>8.1</v>
      </c>
      <c r="H2">
        <v>8.1</v>
      </c>
    </row>
    <row r="3" spans="1:8" x14ac:dyDescent="0.3">
      <c r="A3" t="s">
        <v>38</v>
      </c>
      <c r="B3" t="s">
        <v>86</v>
      </c>
      <c r="C3">
        <v>3.75</v>
      </c>
      <c r="D3">
        <v>3.75</v>
      </c>
      <c r="E3">
        <v>3.75</v>
      </c>
      <c r="F3">
        <v>3.75</v>
      </c>
      <c r="G3">
        <v>3.75</v>
      </c>
      <c r="H3">
        <v>3.75</v>
      </c>
    </row>
    <row r="4" spans="1:8" x14ac:dyDescent="0.3">
      <c r="A4" t="s">
        <v>41</v>
      </c>
      <c r="B4" t="s">
        <v>87</v>
      </c>
      <c r="C4">
        <v>120</v>
      </c>
      <c r="D4">
        <v>120</v>
      </c>
      <c r="E4">
        <v>120</v>
      </c>
      <c r="F4">
        <v>120</v>
      </c>
      <c r="G4">
        <v>120</v>
      </c>
      <c r="H4">
        <v>120</v>
      </c>
    </row>
    <row r="5" spans="1:8" x14ac:dyDescent="0.3">
      <c r="A5" t="s">
        <v>44</v>
      </c>
      <c r="B5" t="s">
        <v>88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3" customWidth="1"/>
    <col min="3" max="3" width="47" customWidth="1"/>
    <col min="4" max="9" width="12" customWidth="1"/>
  </cols>
  <sheetData>
    <row r="1" spans="1:9" x14ac:dyDescent="0.3">
      <c r="A1" s="1" t="s">
        <v>22</v>
      </c>
      <c r="B1" s="1" t="s">
        <v>24</v>
      </c>
      <c r="C1" s="1" t="s">
        <v>84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</row>
    <row r="2" spans="1:9" x14ac:dyDescent="0.3">
      <c r="A2" t="s">
        <v>33</v>
      </c>
      <c r="B2" t="s">
        <v>48</v>
      </c>
      <c r="C2" t="s">
        <v>89</v>
      </c>
      <c r="D2">
        <v>0.95</v>
      </c>
      <c r="E2">
        <v>0.95</v>
      </c>
      <c r="F2">
        <v>0.95</v>
      </c>
      <c r="G2">
        <v>0.95</v>
      </c>
      <c r="H2">
        <v>0.95</v>
      </c>
      <c r="I2">
        <v>0.95</v>
      </c>
    </row>
    <row r="3" spans="1:9" x14ac:dyDescent="0.3">
      <c r="A3" t="s">
        <v>33</v>
      </c>
      <c r="B3" t="s">
        <v>35</v>
      </c>
      <c r="C3" t="s">
        <v>90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3">
      <c r="A4" t="s">
        <v>39</v>
      </c>
      <c r="B4" t="s">
        <v>48</v>
      </c>
      <c r="C4" t="s">
        <v>91</v>
      </c>
      <c r="D4">
        <v>0.64</v>
      </c>
      <c r="E4">
        <v>0.64</v>
      </c>
      <c r="F4">
        <v>0.64</v>
      </c>
      <c r="G4">
        <v>0.64</v>
      </c>
      <c r="H4">
        <v>0.64</v>
      </c>
      <c r="I4">
        <v>0.64</v>
      </c>
    </row>
    <row r="5" spans="1:9" x14ac:dyDescent="0.3">
      <c r="A5" t="s">
        <v>39</v>
      </c>
      <c r="B5" t="s">
        <v>35</v>
      </c>
      <c r="C5" t="s">
        <v>92</v>
      </c>
      <c r="D5">
        <v>0.93</v>
      </c>
      <c r="E5">
        <v>0.93</v>
      </c>
      <c r="F5">
        <v>0.93</v>
      </c>
      <c r="G5">
        <v>0.93</v>
      </c>
      <c r="H5">
        <v>0.93</v>
      </c>
      <c r="I5">
        <v>0.93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>
      <pane ySplit="1" topLeftCell="A2" activePane="bottomLeft" state="frozen"/>
      <selection pane="bottomLeft" activeCell="A4" sqref="A4"/>
    </sheetView>
  </sheetViews>
  <sheetFormatPr defaultRowHeight="14.4" x14ac:dyDescent="0.3"/>
  <cols>
    <col min="1" max="1" width="30" customWidth="1"/>
    <col min="2" max="2" width="14" customWidth="1"/>
    <col min="3" max="7" width="13" customWidth="1"/>
    <col min="8" max="8" width="14" customWidth="1"/>
  </cols>
  <sheetData>
    <row r="1" spans="1:8" x14ac:dyDescent="0.3">
      <c r="A1" s="1" t="s">
        <v>14</v>
      </c>
      <c r="B1" s="1" t="s">
        <v>93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</row>
    <row r="2" spans="1:8" x14ac:dyDescent="0.3">
      <c r="A2" t="s">
        <v>94</v>
      </c>
      <c r="B2" t="s">
        <v>95</v>
      </c>
      <c r="C2">
        <f>132*10^6</f>
        <v>132000000</v>
      </c>
      <c r="D2">
        <f>E2-(1.2*10^6)</f>
        <v>133200000</v>
      </c>
      <c r="E2">
        <f>F2-(1.2*10^6)</f>
        <v>134400000</v>
      </c>
      <c r="F2">
        <f>G2-(1.2*10^6)</f>
        <v>135600000</v>
      </c>
      <c r="G2">
        <f>H2-(1.2*10^6)</f>
        <v>136800000</v>
      </c>
      <c r="H2">
        <f>138*10^6</f>
        <v>138000000</v>
      </c>
    </row>
    <row r="3" spans="1:8" x14ac:dyDescent="0.3">
      <c r="A3" t="s">
        <v>96</v>
      </c>
      <c r="B3" t="s">
        <v>95</v>
      </c>
      <c r="C3">
        <f>102*10^9</f>
        <v>102000000000</v>
      </c>
      <c r="D3">
        <f>103*10^9</f>
        <v>103000000000</v>
      </c>
      <c r="E3">
        <f>104*10^9</f>
        <v>104000000000</v>
      </c>
      <c r="F3">
        <f>105*10^9</f>
        <v>105000000000</v>
      </c>
      <c r="G3">
        <f>106*10^9</f>
        <v>106000000000</v>
      </c>
      <c r="H3">
        <f>107*10^9</f>
        <v>107000000000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2" width="16" customWidth="1"/>
    <col min="3" max="3" width="26" customWidth="1"/>
    <col min="4" max="4" width="14" customWidth="1"/>
    <col min="5" max="5" width="24" customWidth="1"/>
    <col min="6" max="11" width="12" customWidth="1"/>
  </cols>
  <sheetData>
    <row r="1" spans="1:11" x14ac:dyDescent="0.3">
      <c r="A1" s="1" t="s">
        <v>97</v>
      </c>
      <c r="B1" s="1" t="s">
        <v>22</v>
      </c>
      <c r="C1" s="1" t="s">
        <v>98</v>
      </c>
      <c r="D1" s="1" t="s">
        <v>93</v>
      </c>
      <c r="E1" s="1" t="s">
        <v>14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</row>
    <row r="2" spans="1:11" x14ac:dyDescent="0.3">
      <c r="A2" t="s">
        <v>99</v>
      </c>
      <c r="B2" t="s">
        <v>33</v>
      </c>
      <c r="C2" t="s">
        <v>100</v>
      </c>
      <c r="D2" t="s">
        <v>95</v>
      </c>
      <c r="E2" t="s">
        <v>94</v>
      </c>
      <c r="F2">
        <v>45</v>
      </c>
      <c r="G2">
        <v>45</v>
      </c>
      <c r="H2">
        <v>45</v>
      </c>
      <c r="I2">
        <v>45</v>
      </c>
      <c r="J2">
        <v>45</v>
      </c>
      <c r="K2">
        <v>45</v>
      </c>
    </row>
    <row r="3" spans="1:11" x14ac:dyDescent="0.3">
      <c r="A3" t="s">
        <v>101</v>
      </c>
      <c r="B3" t="s">
        <v>39</v>
      </c>
      <c r="C3" t="s">
        <v>100</v>
      </c>
      <c r="D3" t="s">
        <v>95</v>
      </c>
      <c r="E3" t="s">
        <v>94</v>
      </c>
      <c r="F3">
        <v>15</v>
      </c>
      <c r="G3">
        <v>15</v>
      </c>
      <c r="H3">
        <v>15</v>
      </c>
      <c r="I3">
        <v>15</v>
      </c>
      <c r="J3">
        <v>15</v>
      </c>
      <c r="K3">
        <v>15</v>
      </c>
    </row>
    <row r="4" spans="1:11" x14ac:dyDescent="0.3">
      <c r="A4" t="s">
        <v>102</v>
      </c>
      <c r="B4" t="s">
        <v>42</v>
      </c>
      <c r="C4" t="s">
        <v>103</v>
      </c>
      <c r="D4" t="s">
        <v>95</v>
      </c>
      <c r="E4" t="s">
        <v>94</v>
      </c>
      <c r="F4">
        <v>1000</v>
      </c>
      <c r="G4">
        <v>1000</v>
      </c>
      <c r="H4">
        <v>1000</v>
      </c>
      <c r="I4">
        <v>1000</v>
      </c>
      <c r="J4">
        <v>1000</v>
      </c>
      <c r="K4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6" customWidth="1"/>
    <col min="3" max="3" width="12" customWidth="1"/>
    <col min="4" max="4" width="16" customWidth="1"/>
  </cols>
  <sheetData>
    <row r="1" spans="1:4" x14ac:dyDescent="0.3">
      <c r="A1" s="1" t="s">
        <v>22</v>
      </c>
      <c r="B1" s="1" t="s">
        <v>104</v>
      </c>
      <c r="C1" s="1" t="s">
        <v>105</v>
      </c>
      <c r="D1" s="1" t="s">
        <v>106</v>
      </c>
    </row>
    <row r="2" spans="1:4" x14ac:dyDescent="0.3">
      <c r="A2" t="s">
        <v>33</v>
      </c>
      <c r="B2" t="s">
        <v>107</v>
      </c>
      <c r="C2">
        <v>18</v>
      </c>
      <c r="D2" t="s">
        <v>108</v>
      </c>
    </row>
    <row r="3" spans="1:4" x14ac:dyDescent="0.3">
      <c r="A3" t="s">
        <v>33</v>
      </c>
      <c r="B3" t="s">
        <v>109</v>
      </c>
      <c r="C3">
        <v>15</v>
      </c>
      <c r="D3" t="s">
        <v>108</v>
      </c>
    </row>
    <row r="4" spans="1:4" x14ac:dyDescent="0.3">
      <c r="A4" t="s">
        <v>39</v>
      </c>
      <c r="B4" t="s">
        <v>110</v>
      </c>
      <c r="C4">
        <v>12</v>
      </c>
      <c r="D4" t="s">
        <v>108</v>
      </c>
    </row>
    <row r="5" spans="1:4" x14ac:dyDescent="0.3">
      <c r="A5" t="s">
        <v>39</v>
      </c>
      <c r="B5" t="s">
        <v>111</v>
      </c>
      <c r="C5">
        <v>12</v>
      </c>
      <c r="D5" t="s">
        <v>108</v>
      </c>
    </row>
    <row r="6" spans="1:4" x14ac:dyDescent="0.3">
      <c r="A6" t="s">
        <v>42</v>
      </c>
      <c r="B6" t="s">
        <v>112</v>
      </c>
      <c r="C6">
        <v>10</v>
      </c>
      <c r="D6" t="s">
        <v>108</v>
      </c>
    </row>
    <row r="7" spans="1:4" x14ac:dyDescent="0.3">
      <c r="A7" t="s">
        <v>45</v>
      </c>
      <c r="B7" t="s">
        <v>44</v>
      </c>
      <c r="C7">
        <v>8</v>
      </c>
      <c r="D7" t="s">
        <v>108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2"/>
  <sheetViews>
    <sheetView topLeftCell="B1" workbookViewId="0">
      <pane ySplit="1" topLeftCell="A6" activePane="bottomLeft" state="frozen"/>
      <selection pane="bottomLeft" activeCell="D16" sqref="D16"/>
    </sheetView>
  </sheetViews>
  <sheetFormatPr defaultRowHeight="14.4" x14ac:dyDescent="0.3"/>
  <cols>
    <col min="1" max="4" width="48" customWidth="1"/>
  </cols>
  <sheetData>
    <row r="1" spans="1:4" x14ac:dyDescent="0.3">
      <c r="A1" s="1" t="s">
        <v>113</v>
      </c>
      <c r="B1" s="1" t="s">
        <v>114</v>
      </c>
      <c r="C1" s="1" t="s">
        <v>115</v>
      </c>
      <c r="D1" s="1" t="s">
        <v>116</v>
      </c>
    </row>
    <row r="2" spans="1:4" x14ac:dyDescent="0.3">
      <c r="A2" t="s">
        <v>117</v>
      </c>
      <c r="B2" t="s">
        <v>118</v>
      </c>
      <c r="C2" t="s">
        <v>119</v>
      </c>
      <c r="D2" t="s">
        <v>120</v>
      </c>
    </row>
    <row r="3" spans="1:4" x14ac:dyDescent="0.3">
      <c r="A3" t="s">
        <v>121</v>
      </c>
      <c r="B3" t="s">
        <v>122</v>
      </c>
      <c r="C3" t="s">
        <v>123</v>
      </c>
      <c r="D3" t="s">
        <v>124</v>
      </c>
    </row>
    <row r="4" spans="1:4" x14ac:dyDescent="0.3">
      <c r="A4" t="s">
        <v>125</v>
      </c>
      <c r="B4" t="s">
        <v>126</v>
      </c>
      <c r="C4" t="s">
        <v>127</v>
      </c>
      <c r="D4" t="s">
        <v>128</v>
      </c>
    </row>
    <row r="5" spans="1:4" x14ac:dyDescent="0.3">
      <c r="A5" t="s">
        <v>129</v>
      </c>
      <c r="B5" t="s">
        <v>130</v>
      </c>
      <c r="C5" t="s">
        <v>131</v>
      </c>
      <c r="D5" t="s">
        <v>132</v>
      </c>
    </row>
    <row r="6" spans="1:4" x14ac:dyDescent="0.3">
      <c r="A6" t="s">
        <v>133</v>
      </c>
      <c r="B6" t="s">
        <v>134</v>
      </c>
      <c r="C6" t="s">
        <v>135</v>
      </c>
      <c r="D6" t="s">
        <v>136</v>
      </c>
    </row>
    <row r="7" spans="1:4" x14ac:dyDescent="0.3">
      <c r="A7" t="s">
        <v>137</v>
      </c>
      <c r="B7" t="s">
        <v>138</v>
      </c>
      <c r="C7" t="s">
        <v>139</v>
      </c>
      <c r="D7" t="s">
        <v>140</v>
      </c>
    </row>
    <row r="8" spans="1:4" x14ac:dyDescent="0.3">
      <c r="A8" t="s">
        <v>141</v>
      </c>
      <c r="B8" t="s">
        <v>142</v>
      </c>
      <c r="C8" t="s">
        <v>143</v>
      </c>
      <c r="D8" t="s">
        <v>144</v>
      </c>
    </row>
    <row r="9" spans="1:4" x14ac:dyDescent="0.3">
      <c r="A9" t="s">
        <v>145</v>
      </c>
      <c r="B9" t="s">
        <v>146</v>
      </c>
      <c r="C9" t="s">
        <v>147</v>
      </c>
      <c r="D9" t="s">
        <v>148</v>
      </c>
    </row>
    <row r="10" spans="1:4" x14ac:dyDescent="0.3">
      <c r="A10" t="s">
        <v>149</v>
      </c>
      <c r="B10" t="s">
        <v>150</v>
      </c>
      <c r="C10" t="s">
        <v>151</v>
      </c>
      <c r="D10" t="s">
        <v>148</v>
      </c>
    </row>
    <row r="11" spans="1:4" x14ac:dyDescent="0.3">
      <c r="A11" t="s">
        <v>152</v>
      </c>
      <c r="B11" t="s">
        <v>153</v>
      </c>
      <c r="C11" t="s">
        <v>154</v>
      </c>
      <c r="D11" t="s">
        <v>155</v>
      </c>
    </row>
    <row r="12" spans="1:4" x14ac:dyDescent="0.3">
      <c r="A12" t="s">
        <v>156</v>
      </c>
      <c r="B12" t="s">
        <v>157</v>
      </c>
      <c r="C12" t="s">
        <v>158</v>
      </c>
      <c r="D12" t="s">
        <v>159</v>
      </c>
    </row>
    <row r="13" spans="1:4" x14ac:dyDescent="0.3">
      <c r="A13" t="s">
        <v>160</v>
      </c>
      <c r="B13" t="s">
        <v>161</v>
      </c>
      <c r="C13" t="s">
        <v>162</v>
      </c>
      <c r="D13" t="s">
        <v>163</v>
      </c>
    </row>
    <row r="14" spans="1:4" x14ac:dyDescent="0.3">
      <c r="A14" t="s">
        <v>164</v>
      </c>
      <c r="B14" t="s">
        <v>165</v>
      </c>
      <c r="C14" t="s">
        <v>166</v>
      </c>
      <c r="D14" t="s">
        <v>167</v>
      </c>
    </row>
    <row r="15" spans="1:4" x14ac:dyDescent="0.3">
      <c r="A15" t="s">
        <v>168</v>
      </c>
      <c r="B15" t="s">
        <v>169</v>
      </c>
      <c r="C15" t="s">
        <v>170</v>
      </c>
      <c r="D15" t="s">
        <v>171</v>
      </c>
    </row>
    <row r="16" spans="1:4" x14ac:dyDescent="0.3">
      <c r="A16" t="s">
        <v>172</v>
      </c>
      <c r="B16" t="s">
        <v>173</v>
      </c>
      <c r="C16" t="s">
        <v>174</v>
      </c>
      <c r="D16" t="s">
        <v>175</v>
      </c>
    </row>
    <row r="17" spans="1:4" x14ac:dyDescent="0.3">
      <c r="A17" t="s">
        <v>176</v>
      </c>
      <c r="B17" t="s">
        <v>177</v>
      </c>
      <c r="C17" t="s">
        <v>178</v>
      </c>
      <c r="D17" t="s">
        <v>179</v>
      </c>
    </row>
    <row r="18" spans="1:4" x14ac:dyDescent="0.3">
      <c r="A18" t="s">
        <v>180</v>
      </c>
      <c r="B18" t="s">
        <v>181</v>
      </c>
      <c r="C18" t="s">
        <v>178</v>
      </c>
      <c r="D18" t="s">
        <v>179</v>
      </c>
    </row>
    <row r="19" spans="1:4" x14ac:dyDescent="0.3">
      <c r="A19" t="s">
        <v>182</v>
      </c>
      <c r="B19" t="s">
        <v>183</v>
      </c>
      <c r="C19" t="s">
        <v>184</v>
      </c>
      <c r="D19" t="s">
        <v>185</v>
      </c>
    </row>
    <row r="20" spans="1:4" x14ac:dyDescent="0.3">
      <c r="A20" t="s">
        <v>186</v>
      </c>
      <c r="B20" t="s">
        <v>187</v>
      </c>
      <c r="C20" t="s">
        <v>188</v>
      </c>
      <c r="D20" t="s">
        <v>189</v>
      </c>
    </row>
    <row r="21" spans="1:4" x14ac:dyDescent="0.3">
      <c r="A21" t="s">
        <v>190</v>
      </c>
      <c r="B21" t="s">
        <v>153</v>
      </c>
      <c r="C21" t="s">
        <v>191</v>
      </c>
      <c r="D21" t="s">
        <v>192</v>
      </c>
    </row>
    <row r="22" spans="1:4" x14ac:dyDescent="0.3">
      <c r="A22" t="s">
        <v>193</v>
      </c>
      <c r="B22" t="s">
        <v>194</v>
      </c>
      <c r="C22" t="s">
        <v>195</v>
      </c>
      <c r="D22" t="s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Input_Params</vt:lpstr>
      <vt:lpstr>Demand_Tech_Characteristics</vt:lpstr>
      <vt:lpstr>Baseline_Demand_Fuel_Mix</vt:lpstr>
      <vt:lpstr>Demand_Tech_Unit_Cost</vt:lpstr>
      <vt:lpstr>Demand_Tech_Efficiency</vt:lpstr>
      <vt:lpstr>Baseline_Efficiency</vt:lpstr>
      <vt:lpstr>Stock</vt:lpstr>
      <vt:lpstr>Demand_Scaling</vt:lpstr>
      <vt:lpstr>Stock_Turnover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thecalebhwhite@outlook.com</cp:lastModifiedBy>
  <dcterms:created xsi:type="dcterms:W3CDTF">2025-12-20T18:55:30Z</dcterms:created>
  <dcterms:modified xsi:type="dcterms:W3CDTF">2025-12-30T00:48:20Z</dcterms:modified>
</cp:coreProperties>
</file>